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pern-my.sharepoint.com/personal/b25f0092ai172_paf-iast_edu_pk/Documents/Desktop/1st Semester/Fundamental of ICT - Lab/Project Proposal/"/>
    </mc:Choice>
  </mc:AlternateContent>
  <xr:revisionPtr revIDLastSave="298" documentId="8_{EA1992FF-8E7D-4170-A747-49A6CD5F5CB2}" xr6:coauthVersionLast="47" xr6:coauthVersionMax="47" xr10:uidLastSave="{D914E69D-33DA-47F0-9886-9473212C81EB}"/>
  <bookViews>
    <workbookView xWindow="-110" yWindow="-110" windowWidth="19420" windowHeight="10420" xr2:uid="{00000000-000D-0000-FFFF-FFFF00000000}"/>
  </bookViews>
  <sheets>
    <sheet name="Feeders" sheetId="1" r:id="rId1"/>
    <sheet name="ConsumerCounts" sheetId="2" r:id="rId2"/>
    <sheet name="MonthlyConsumption" sheetId="3" r:id="rId3"/>
    <sheet name="Revenue" sheetId="4" r:id="rId4"/>
    <sheet name="Summary" sheetId="5" state="hidden" r:id="rId5"/>
    <sheet name="Collection" sheetId="6" state="hidden" r:id="rId6"/>
  </sheets>
  <definedNames>
    <definedName name="Slicer_StationName">#N/A</definedName>
  </definedNames>
  <calcPr calcId="191028"/>
  <pivotCaches>
    <pivotCache cacheId="0" r:id="rId7"/>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6" l="1"/>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K9" i="2"/>
  <c r="K8" i="2"/>
  <c r="L8" i="2" s="1"/>
  <c r="K7" i="2"/>
  <c r="K6" i="2"/>
  <c r="L6" i="2" s="1"/>
  <c r="D42" i="4"/>
  <c r="C42" i="4"/>
  <c r="B42" i="4"/>
  <c r="L7" i="2"/>
  <c r="L9" i="2"/>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42" i="2"/>
  <c r="E42" i="2"/>
  <c r="D42" i="2"/>
  <c r="C42" i="2"/>
  <c r="B42" i="2"/>
  <c r="Q3" i="1" a="1"/>
  <c r="Q3" i="1" s="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N25" i="3" a="1"/>
  <c r="N25"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<sst xmlns="http://schemas.openxmlformats.org/spreadsheetml/2006/main" count="1538" uniqueCount="146">
  <si>
    <t>StationID</t>
  </si>
  <si>
    <t>StationName</t>
  </si>
  <si>
    <t>Voltage</t>
  </si>
  <si>
    <t>AreaTag</t>
  </si>
  <si>
    <t>UCName</t>
  </si>
  <si>
    <t>FeederID</t>
  </si>
  <si>
    <t>FeederName</t>
  </si>
  <si>
    <t>AvgSupplyHoursPerDay</t>
  </si>
  <si>
    <t>ProtectedResidentialShare</t>
  </si>
  <si>
    <t>ConnectedLoad_kW</t>
  </si>
  <si>
    <t>Haripur 132kV – Urban</t>
  </si>
  <si>
    <t>132 kV</t>
  </si>
  <si>
    <t>Urban Residential</t>
  </si>
  <si>
    <t>Khalabat Township</t>
  </si>
  <si>
    <t>FDR-001</t>
  </si>
  <si>
    <t>Haripur-01</t>
  </si>
  <si>
    <t>Bherkund</t>
  </si>
  <si>
    <t>FDR-002</t>
  </si>
  <si>
    <t>Haripur-02</t>
  </si>
  <si>
    <t>Hattar 132kV – Industrial</t>
  </si>
  <si>
    <t>FDR-003</t>
  </si>
  <si>
    <t>Haripur-03</t>
  </si>
  <si>
    <t>Dingi</t>
  </si>
  <si>
    <t>FDR-004</t>
  </si>
  <si>
    <t>Haripur-04</t>
  </si>
  <si>
    <t>Pind Ghazi</t>
  </si>
  <si>
    <t>FDR-005</t>
  </si>
  <si>
    <t>Haripur-05</t>
  </si>
  <si>
    <t>FDR-006</t>
  </si>
  <si>
    <t>Haripur-06</t>
  </si>
  <si>
    <t>FDR-007</t>
  </si>
  <si>
    <t>Haripur-07</t>
  </si>
  <si>
    <t>FDR-008</t>
  </si>
  <si>
    <t>Haripur-08</t>
  </si>
  <si>
    <t>Shah Maqsood</t>
  </si>
  <si>
    <t>FDR-009</t>
  </si>
  <si>
    <t>Haripur-09</t>
  </si>
  <si>
    <t>FDR-010</t>
  </si>
  <si>
    <t>Haripur-10</t>
  </si>
  <si>
    <t>FDR-011</t>
  </si>
  <si>
    <t>Haripur-11</t>
  </si>
  <si>
    <t>FDR-012</t>
  </si>
  <si>
    <t>Haripur-12</t>
  </si>
  <si>
    <t>FDR-013</t>
  </si>
  <si>
    <t>Haripur-13</t>
  </si>
  <si>
    <t>Sikandarpur</t>
  </si>
  <si>
    <t>FDR-014</t>
  </si>
  <si>
    <t>Haripur-14</t>
  </si>
  <si>
    <t>Sarai Saleh</t>
  </si>
  <si>
    <t>FDR-015</t>
  </si>
  <si>
    <t>Haripur-15</t>
  </si>
  <si>
    <t>Hattar</t>
  </si>
  <si>
    <t>FDR-016</t>
  </si>
  <si>
    <t>Haripur-16</t>
  </si>
  <si>
    <t>Haripur 66kV – Semi-Urban</t>
  </si>
  <si>
    <t>66 kV</t>
  </si>
  <si>
    <t>Semi-Urban</t>
  </si>
  <si>
    <t>Sobra City</t>
  </si>
  <si>
    <t>FDR-017</t>
  </si>
  <si>
    <t>FDR-018</t>
  </si>
  <si>
    <t>FDR-019</t>
  </si>
  <si>
    <t>Kot Najibullah</t>
  </si>
  <si>
    <t>FDR-020</t>
  </si>
  <si>
    <t>FDR-021</t>
  </si>
  <si>
    <t>FDR-022</t>
  </si>
  <si>
    <t>FDR-023</t>
  </si>
  <si>
    <t>Ghazi</t>
  </si>
  <si>
    <t>FDR-024</t>
  </si>
  <si>
    <t>FDR-025</t>
  </si>
  <si>
    <t>FDR-026</t>
  </si>
  <si>
    <t>FDR-027</t>
  </si>
  <si>
    <t>FDR-028</t>
  </si>
  <si>
    <t>Industrial Estate</t>
  </si>
  <si>
    <t>FDR-029</t>
  </si>
  <si>
    <t>Hattar-01</t>
  </si>
  <si>
    <t>FDR-030</t>
  </si>
  <si>
    <t>Hattar-02</t>
  </si>
  <si>
    <t>FDR-031</t>
  </si>
  <si>
    <t>Hattar-03</t>
  </si>
  <si>
    <t>FDR-032</t>
  </si>
  <si>
    <t>Hattar-04</t>
  </si>
  <si>
    <t>FDR-033</t>
  </si>
  <si>
    <t>Hattar-05</t>
  </si>
  <si>
    <t>FDR-034</t>
  </si>
  <si>
    <t>Hattar-06</t>
  </si>
  <si>
    <t>FDR-035</t>
  </si>
  <si>
    <t>Hattar-07</t>
  </si>
  <si>
    <t>FDR-036</t>
  </si>
  <si>
    <t>Hattar-08</t>
  </si>
  <si>
    <t>Row Labels</t>
  </si>
  <si>
    <t>FDR-037</t>
  </si>
  <si>
    <t>Hattar-09</t>
  </si>
  <si>
    <t>FDR-038</t>
  </si>
  <si>
    <t>Hattar-10</t>
  </si>
  <si>
    <t>FDR-039</t>
  </si>
  <si>
    <t>Hattar-11</t>
  </si>
  <si>
    <t>FDR-040</t>
  </si>
  <si>
    <t>Hattar-12</t>
  </si>
  <si>
    <t>Grand Total</t>
  </si>
  <si>
    <t>ResConsumers</t>
  </si>
  <si>
    <t>ComConsumers</t>
  </si>
  <si>
    <t>IndConsumers</t>
  </si>
  <si>
    <t>AgriConsumers</t>
  </si>
  <si>
    <t>ConsumersConnected</t>
  </si>
  <si>
    <t>Segment</t>
  </si>
  <si>
    <t>Consumers</t>
  </si>
  <si>
    <t>Percent_of_Total</t>
  </si>
  <si>
    <t>Residential</t>
  </si>
  <si>
    <t>Commercial</t>
  </si>
  <si>
    <t>Industrial</t>
  </si>
  <si>
    <t>Agri</t>
  </si>
  <si>
    <t>Month</t>
  </si>
  <si>
    <t>kWh</t>
  </si>
  <si>
    <t>Jul-25</t>
  </si>
  <si>
    <t>Aug-25</t>
  </si>
  <si>
    <t>Sep-25</t>
  </si>
  <si>
    <t>kWh.</t>
  </si>
  <si>
    <t>Oct-25</t>
  </si>
  <si>
    <t>Apr-26</t>
  </si>
  <si>
    <t>Nov-25</t>
  </si>
  <si>
    <t>Dec-25</t>
  </si>
  <si>
    <t>Jan-26</t>
  </si>
  <si>
    <t>Feb-26</t>
  </si>
  <si>
    <t>Mar-26</t>
  </si>
  <si>
    <t>Jun-26</t>
  </si>
  <si>
    <t>May-26</t>
  </si>
  <si>
    <t>Annual_kWh</t>
  </si>
  <si>
    <t>RatePKR_per_kWh</t>
  </si>
  <si>
    <t>Annual_Revenue_PKR</t>
  </si>
  <si>
    <t>Top Five Most Revenueable</t>
  </si>
  <si>
    <t>Annual_kWh.</t>
  </si>
  <si>
    <t>Annual_Revenue_PKR.</t>
  </si>
  <si>
    <t>Metric</t>
  </si>
  <si>
    <t>Value</t>
  </si>
  <si>
    <t>Total Feeders</t>
  </si>
  <si>
    <t>Total Consumers</t>
  </si>
  <si>
    <t>Annual kWh (All)</t>
  </si>
  <si>
    <t>Annual Revenue (PKR)</t>
  </si>
  <si>
    <t>Avg Supply Hours (per day)</t>
  </si>
  <si>
    <t>Max Connected Load (kW)</t>
  </si>
  <si>
    <t>Feeders</t>
  </si>
  <si>
    <t>AvgSupplyHours</t>
  </si>
  <si>
    <t>Rank</t>
  </si>
  <si>
    <t>Feeder id</t>
  </si>
  <si>
    <t>Supply-HoursPerDay</t>
  </si>
  <si>
    <t>Monthly Consumption of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</si>
</sst>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b/>
      <sz val="11"/>
      <color theme="0"/>
      <name val="Calibri"/>
      <family val="2"/>
      <scheme val="minor"/>
    </font>
    <font>
      <b/>
      <sz val="11"/>
      <color rgb="FFFFFFFF"/>
      <name val="Calibri"/>
      <family val="2"/>
    </font>
    <font>
      <b/>
      <sz val="20"/>
      <color theme="0"/>
      <name val="Calibri"/>
      <family val="2"/>
      <scheme val="minor"/>
    </font>
  </fonts>
  <fills count="9">
    <fill>
      <patternFill patternType="none"/>
    </fill>
    <fill>
      <patternFill patternType="gray125"/>
    </fill>
    <fill>
      <patternFill patternType="solid">
        <fgColor rgb="FF1F2937"/>
      </patternFill>
    </fill>
    <fill>
      <patternFill patternType="solid">
        <fgColor theme="4" tint="0.59999389629810485"/>
        <bgColor theme="4" tint="0.59999389629810485"/>
      </patternFill>
    </fill>
    <fill>
      <patternFill patternType="solid">
        <fgColor theme="4" tint="-0.249977111117893"/>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0"/>
        <bgColor theme="4"/>
      </patternFill>
    </fill>
  </fills>
  <borders count="9">
    <border>
      <left/>
      <right/>
      <top/>
      <bottom/>
      <diagonal/>
    </border>
    <border>
      <left style="thin">
        <color rgb="FFC0C0C0"/>
      </left>
      <right style="thin">
        <color rgb="FFC0C0C0"/>
      </right>
      <top style="thin">
        <color rgb="FFC0C0C0"/>
      </top>
      <bottom style="thin">
        <color rgb="FFC0C0C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ck">
        <color theme="0"/>
      </top>
      <bottom/>
      <diagonal/>
    </border>
    <border>
      <left style="thin">
        <color theme="0"/>
      </left>
      <right/>
      <top style="thick">
        <color theme="0"/>
      </top>
      <bottom/>
      <diagonal/>
    </border>
  </borders>
  <cellStyleXfs count="1">
    <xf numFmtId="0" fontId="0" fillId="0" borderId="0"/>
  </cellStyleXfs>
  <cellXfs count="32">
    <xf numFmtId="0" fontId="0" fillId="0" borderId="0" xfId="0"/>
    <xf numFmtId="0" fontId="1" fillId="2" borderId="1" xfId="0" applyFont="1" applyFill="1" applyBorder="1"/>
    <xf numFmtId="0" fontId="0" fillId="3" borderId="2"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3" fillId="2" borderId="1" xfId="0" applyFont="1" applyFill="1" applyBorder="1"/>
    <xf numFmtId="0" fontId="3" fillId="2" borderId="1" xfId="0" applyFont="1" applyFill="1" applyBorder="1" applyAlignment="1">
      <alignment horizontal="center" vertical="center"/>
    </xf>
    <xf numFmtId="0" fontId="0" fillId="0" borderId="0" xfId="0" applyAlignment="1">
      <alignment horizontal="center" vertical="center"/>
    </xf>
    <xf numFmtId="0" fontId="1" fillId="5" borderId="1" xfId="0" applyFont="1" applyFill="1" applyBorder="1"/>
    <xf numFmtId="0" fontId="3" fillId="2" borderId="1" xfId="0" applyFont="1" applyFill="1" applyBorder="1" applyAlignment="1">
      <alignment horizontal="center"/>
    </xf>
    <xf numFmtId="1" fontId="1" fillId="2" borderId="1" xfId="0" applyNumberFormat="1" applyFont="1" applyFill="1" applyBorder="1"/>
    <xf numFmtId="1" fontId="0" fillId="0" borderId="0" xfId="0" applyNumberFormat="1"/>
    <xf numFmtId="0" fontId="1" fillId="2" borderId="1" xfId="0" applyFont="1" applyFill="1" applyBorder="1" applyAlignment="1">
      <alignment horizontal="center"/>
    </xf>
    <xf numFmtId="10" fontId="0" fillId="0" borderId="0" xfId="0" applyNumberFormat="1" applyAlignment="1">
      <alignment horizontal="center"/>
    </xf>
    <xf numFmtId="164" fontId="0" fillId="0" borderId="0" xfId="0" applyNumberFormat="1"/>
    <xf numFmtId="0" fontId="4" fillId="4" borderId="0" xfId="0" applyFont="1" applyFill="1" applyAlignment="1">
      <alignment horizontal="center"/>
    </xf>
    <xf numFmtId="0" fontId="2" fillId="6" borderId="0" xfId="0" applyFont="1" applyFill="1" applyAlignment="1">
      <alignment horizontal="center"/>
    </xf>
    <xf numFmtId="0" fontId="0" fillId="3" borderId="2" xfId="0" applyFont="1" applyFill="1" applyBorder="1"/>
    <xf numFmtId="0" fontId="0" fillId="3" borderId="4" xfId="0" applyFont="1" applyFill="1" applyBorder="1"/>
    <xf numFmtId="0" fontId="0" fillId="7" borderId="2" xfId="0" applyFont="1" applyFill="1" applyBorder="1"/>
    <xf numFmtId="0" fontId="0" fillId="7" borderId="4" xfId="0" applyFont="1" applyFill="1" applyBorder="1"/>
    <xf numFmtId="0" fontId="0" fillId="0" borderId="0" xfId="0" applyNumberFormat="1"/>
    <xf numFmtId="0" fontId="0" fillId="3" borderId="3" xfId="0" applyFont="1" applyFill="1" applyBorder="1" applyAlignment="1">
      <alignment horizontal="center"/>
    </xf>
    <xf numFmtId="0" fontId="0" fillId="7" borderId="3" xfId="0" applyFont="1" applyFill="1" applyBorder="1" applyAlignment="1">
      <alignment horizontal="center"/>
    </xf>
    <xf numFmtId="0" fontId="0" fillId="7" borderId="5" xfId="0" applyFont="1" applyFill="1" applyBorder="1" applyAlignment="1">
      <alignment horizontal="center"/>
    </xf>
    <xf numFmtId="0" fontId="0" fillId="3" borderId="2" xfId="0" applyFont="1" applyFill="1" applyBorder="1" applyAlignment="1">
      <alignment horizontal="center"/>
    </xf>
    <xf numFmtId="0" fontId="0" fillId="7" borderId="2" xfId="0" applyFont="1" applyFill="1" applyBorder="1" applyAlignment="1">
      <alignment horizontal="center"/>
    </xf>
    <xf numFmtId="0" fontId="0" fillId="7" borderId="6" xfId="0" applyFont="1" applyFill="1" applyBorder="1" applyAlignment="1">
      <alignment horizontal="center"/>
    </xf>
    <xf numFmtId="0" fontId="2" fillId="8" borderId="7" xfId="0" applyFont="1" applyFill="1" applyBorder="1"/>
    <xf numFmtId="0" fontId="2" fillId="8" borderId="8" xfId="0" applyFont="1" applyFill="1" applyBorder="1"/>
  </cellXfs>
  <cellStyles count="1">
    <cellStyle name="Normal" xfId="0" builtinId="0"/>
  </cellStyles>
  <dxfs count="2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Data.xlsx]Feeders!PivotTable6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Feeders!$R$37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Feeders!$Q$38:$Q$51</c:f>
              <c:multiLvlStrCache>
                <c:ptCount val="12"/>
                <c:lvl>
                  <c:pt idx="0">
                    <c:v>FDR-029</c:v>
                  </c:pt>
                  <c:pt idx="1">
                    <c:v>FDR-030</c:v>
                  </c:pt>
                  <c:pt idx="2">
                    <c:v>FDR-031</c:v>
                  </c:pt>
                  <c:pt idx="3">
                    <c:v>FDR-032</c:v>
                  </c:pt>
                  <c:pt idx="4">
                    <c:v>FDR-033</c:v>
                  </c:pt>
                  <c:pt idx="5">
                    <c:v>FDR-034</c:v>
                  </c:pt>
                  <c:pt idx="6">
                    <c:v>FDR-035</c:v>
                  </c:pt>
                  <c:pt idx="7">
                    <c:v>FDR-036</c:v>
                  </c:pt>
                  <c:pt idx="8">
                    <c:v>FDR-037</c:v>
                  </c:pt>
                  <c:pt idx="9">
                    <c:v>FDR-038</c:v>
                  </c:pt>
                  <c:pt idx="10">
                    <c:v>FDR-039</c:v>
                  </c:pt>
                  <c:pt idx="11">
                    <c:v>FDR-040</c:v>
                  </c:pt>
                </c:lvl>
                <c:lvl>
                  <c:pt idx="0">
                    <c:v>Hattar 132kV – Industrial</c:v>
                  </c:pt>
                </c:lvl>
              </c:multiLvlStrCache>
            </c:multiLvlStrRef>
          </c:cat>
          <c:val>
            <c:numRef>
              <c:f>Feeders!$R$38:$R$51</c:f>
              <c:numCache>
                <c:formatCode>General</c:formatCode>
                <c:ptCount val="12"/>
                <c:pt idx="0">
                  <c:v>21</c:v>
                </c:pt>
                <c:pt idx="1">
                  <c:v>22</c:v>
                </c:pt>
                <c:pt idx="2">
                  <c:v>23</c:v>
                </c:pt>
                <c:pt idx="3">
                  <c:v>22</c:v>
                </c:pt>
                <c:pt idx="4">
                  <c:v>20</c:v>
                </c:pt>
                <c:pt idx="5">
                  <c:v>21</c:v>
                </c:pt>
                <c:pt idx="6">
                  <c:v>22</c:v>
                </c:pt>
                <c:pt idx="7">
                  <c:v>22</c:v>
                </c:pt>
                <c:pt idx="8">
                  <c:v>23</c:v>
                </c:pt>
                <c:pt idx="9">
                  <c:v>22</c:v>
                </c:pt>
                <c:pt idx="10">
                  <c:v>23</c:v>
                </c:pt>
                <c:pt idx="11">
                  <c:v>21</c:v>
                </c:pt>
              </c:numCache>
            </c:numRef>
          </c:val>
          <c:extLst>
            <c:ext xmlns:c16="http://schemas.microsoft.com/office/drawing/2014/chart" uri="{C3380CC4-5D6E-409C-BE32-E72D297353CC}">
              <c16:uniqueId val="{00000000-49D5-4B01-B963-A6D008AB7E71}"/>
            </c:ext>
          </c:extLst>
        </c:ser>
        <c:dLbls>
          <c:dLblPos val="outEnd"/>
          <c:showLegendKey val="0"/>
          <c:showVal val="1"/>
          <c:showCatName val="0"/>
          <c:showSerName val="0"/>
          <c:showPercent val="0"/>
          <c:showBubbleSize val="0"/>
        </c:dLbls>
        <c:gapWidth val="219"/>
        <c:overlap val="-27"/>
        <c:axId val="1088552031"/>
        <c:axId val="1088553471"/>
      </c:barChart>
      <c:catAx>
        <c:axId val="108855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53471"/>
        <c:crosses val="autoZero"/>
        <c:auto val="1"/>
        <c:lblAlgn val="ctr"/>
        <c:lblOffset val="100"/>
        <c:noMultiLvlLbl val="0"/>
      </c:catAx>
      <c:valAx>
        <c:axId val="108855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18-4C20-B84B-15215EDFE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18-4C20-B84B-15215EDFE5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18-4C20-B84B-15215EDFE5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18-4C20-B84B-15215EDFE5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'ConsumerCounts'!$J$6:$J$9</c:f>
              <c:strCache>
                <c:ptCount val="4"/>
                <c:pt idx="0">
                  <c:v>Residential</c:v>
                </c:pt>
                <c:pt idx="1">
                  <c:v>Commercial</c:v>
                </c:pt>
                <c:pt idx="2">
                  <c:v>Industrial</c:v>
                </c:pt>
                <c:pt idx="3">
                  <c:v>Agri</c:v>
                </c:pt>
              </c:strCache>
            </c:strRef>
          </c:cat>
          <c:val>
            <c:numRef>
              <c:f>'ConsumerCounts'!$K$6:$K$9</c:f>
              <c:numCache>
                <c:formatCode>General</c:formatCode>
                <c:ptCount val="4"/>
                <c:pt idx="0">
                  <c:v>34632</c:v>
                </c:pt>
                <c:pt idx="1">
                  <c:v>7251</c:v>
                </c:pt>
                <c:pt idx="2">
                  <c:v>2362</c:v>
                </c:pt>
                <c:pt idx="3">
                  <c:v>2017</c:v>
                </c:pt>
              </c:numCache>
            </c:numRef>
          </c:val>
          <c:extLst>
            <c:ext xmlns:c16="http://schemas.microsoft.com/office/drawing/2014/chart" uri="{C3380CC4-5D6E-409C-BE32-E72D297353CC}">
              <c16:uniqueId val="{00000000-BED7-4E4C-80EA-E505407ED1D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Data.xlsx]MonthlyConsumption!PivotTable5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9229250306892"/>
          <c:y val="0.23884660609416114"/>
          <c:w val="0.75903696697785561"/>
          <c:h val="0.46401961989356844"/>
        </c:manualLayout>
      </c:layout>
      <c:barChart>
        <c:barDir val="col"/>
        <c:grouping val="clustered"/>
        <c:varyColors val="0"/>
        <c:ser>
          <c:idx val="0"/>
          <c:order val="0"/>
          <c:tx>
            <c:strRef>
              <c:f>MonthlyConsumption!$K$4</c:f>
              <c:strCache>
                <c:ptCount val="1"/>
                <c:pt idx="0">
                  <c:v>Total</c:v>
                </c:pt>
              </c:strCache>
            </c:strRef>
          </c:tx>
          <c:spPr>
            <a:solidFill>
              <a:schemeClr val="accent1"/>
            </a:solidFill>
            <a:ln>
              <a:noFill/>
            </a:ln>
            <a:effectLst/>
          </c:spPr>
          <c:invertIfNegative val="0"/>
          <c:cat>
            <c:strRef>
              <c:f>MonthlyConsumption!$J$5:$J$17</c:f>
              <c:strCache>
                <c:ptCount val="12"/>
                <c:pt idx="0">
                  <c:v>Apr-26</c:v>
                </c:pt>
                <c:pt idx="1">
                  <c:v>Aug-25</c:v>
                </c:pt>
                <c:pt idx="2">
                  <c:v>Dec-25</c:v>
                </c:pt>
                <c:pt idx="3">
                  <c:v>Feb-26</c:v>
                </c:pt>
                <c:pt idx="4">
                  <c:v>Jan-26</c:v>
                </c:pt>
                <c:pt idx="5">
                  <c:v>Jul-25</c:v>
                </c:pt>
                <c:pt idx="6">
                  <c:v>Jun-26</c:v>
                </c:pt>
                <c:pt idx="7">
                  <c:v>Mar-26</c:v>
                </c:pt>
                <c:pt idx="8">
                  <c:v>May-26</c:v>
                </c:pt>
                <c:pt idx="9">
                  <c:v>Nov-25</c:v>
                </c:pt>
                <c:pt idx="10">
                  <c:v>Oct-25</c:v>
                </c:pt>
                <c:pt idx="11">
                  <c:v>Sep-25</c:v>
                </c:pt>
              </c:strCache>
            </c:strRef>
          </c:cat>
          <c:val>
            <c:numRef>
              <c:f>MonthlyConsumption!$K$5:$K$17</c:f>
              <c:numCache>
                <c:formatCode>General</c:formatCode>
                <c:ptCount val="12"/>
                <c:pt idx="0">
                  <c:v>40010308</c:v>
                </c:pt>
                <c:pt idx="1">
                  <c:v>41971928</c:v>
                </c:pt>
                <c:pt idx="2">
                  <c:v>37035536</c:v>
                </c:pt>
                <c:pt idx="3">
                  <c:v>37808057</c:v>
                </c:pt>
                <c:pt idx="4">
                  <c:v>37278656</c:v>
                </c:pt>
                <c:pt idx="5">
                  <c:v>41191009</c:v>
                </c:pt>
                <c:pt idx="6">
                  <c:v>42213808</c:v>
                </c:pt>
                <c:pt idx="7">
                  <c:v>38958409</c:v>
                </c:pt>
                <c:pt idx="8">
                  <c:v>41230419</c:v>
                </c:pt>
                <c:pt idx="9">
                  <c:v>37977270</c:v>
                </c:pt>
                <c:pt idx="10">
                  <c:v>39282235</c:v>
                </c:pt>
                <c:pt idx="11">
                  <c:v>40115329</c:v>
                </c:pt>
              </c:numCache>
            </c:numRef>
          </c:val>
          <c:extLst>
            <c:ext xmlns:c16="http://schemas.microsoft.com/office/drawing/2014/chart" uri="{C3380CC4-5D6E-409C-BE32-E72D297353CC}">
              <c16:uniqueId val="{00000000-AEBB-492E-9D31-254895BBEDCE}"/>
            </c:ext>
          </c:extLst>
        </c:ser>
        <c:dLbls>
          <c:showLegendKey val="0"/>
          <c:showVal val="0"/>
          <c:showCatName val="0"/>
          <c:showSerName val="0"/>
          <c:showPercent val="0"/>
          <c:showBubbleSize val="0"/>
        </c:dLbls>
        <c:gapWidth val="219"/>
        <c:overlap val="-27"/>
        <c:axId val="207549536"/>
        <c:axId val="148604896"/>
      </c:barChart>
      <c:catAx>
        <c:axId val="20754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4896"/>
        <c:crosses val="autoZero"/>
        <c:auto val="1"/>
        <c:lblAlgn val="ctr"/>
        <c:lblOffset val="100"/>
        <c:noMultiLvlLbl val="0"/>
      </c:catAx>
      <c:valAx>
        <c:axId val="14860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4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Data.xlsx]Revenue!PivotTable7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'Revenue'!$I$3</c:f>
              <c:strCache>
                <c:ptCount val="1"/>
                <c:pt idx="0">
                  <c:v>Annual_kWh.</c:v>
                </c:pt>
              </c:strCache>
            </c:strRef>
          </c:tx>
          <c:spPr>
            <a:solidFill>
              <a:schemeClr val="accent1"/>
            </a:solidFill>
            <a:ln>
              <a:noFill/>
            </a:ln>
            <a:effectLst/>
          </c:spPr>
          <c:invertIfNegative val="0"/>
          <c:cat>
            <c:strRef>
              <c:f>'Revenue'!$H$4:$H$9</c:f>
              <c:strCache>
                <c:ptCount val="5"/>
                <c:pt idx="0">
                  <c:v>FDR-034</c:v>
                </c:pt>
                <c:pt idx="1">
                  <c:v>FDR-036</c:v>
                </c:pt>
                <c:pt idx="2">
                  <c:v>FDR-029</c:v>
                </c:pt>
                <c:pt idx="3">
                  <c:v>FDR-030</c:v>
                </c:pt>
                <c:pt idx="4">
                  <c:v>FDR-037</c:v>
                </c:pt>
              </c:strCache>
            </c:strRef>
          </c:cat>
          <c:val>
            <c:numRef>
              <c:f>'Revenue'!$I$4:$I$9</c:f>
              <c:numCache>
                <c:formatCode>General</c:formatCode>
                <c:ptCount val="5"/>
                <c:pt idx="0">
                  <c:v>21445867</c:v>
                </c:pt>
                <c:pt idx="1">
                  <c:v>19857607</c:v>
                </c:pt>
                <c:pt idx="2">
                  <c:v>19712984</c:v>
                </c:pt>
                <c:pt idx="3">
                  <c:v>17647847</c:v>
                </c:pt>
                <c:pt idx="4">
                  <c:v>17630398</c:v>
                </c:pt>
              </c:numCache>
            </c:numRef>
          </c:val>
          <c:extLst>
            <c:ext xmlns:c16="http://schemas.microsoft.com/office/drawing/2014/chart" uri="{C3380CC4-5D6E-409C-BE32-E72D297353CC}">
              <c16:uniqueId val="{00000000-B90B-49FD-B941-AA1C5DE60437}"/>
            </c:ext>
          </c:extLst>
        </c:ser>
        <c:ser>
          <c:idx val="1"/>
          <c:order val="1"/>
          <c:tx>
            <c:strRef>
              <c:f>'Revenue'!$J$3</c:f>
              <c:strCache>
                <c:ptCount val="1"/>
                <c:pt idx="0">
                  <c:v>Annual_Revenue_PKR.</c:v>
                </c:pt>
              </c:strCache>
            </c:strRef>
          </c:tx>
          <c:spPr>
            <a:solidFill>
              <a:schemeClr val="accent2"/>
            </a:solidFill>
            <a:ln>
              <a:noFill/>
            </a:ln>
            <a:effectLst/>
          </c:spPr>
          <c:invertIfNegative val="0"/>
          <c:cat>
            <c:strRef>
              <c:f>'Revenue'!$H$4:$H$9</c:f>
              <c:strCache>
                <c:ptCount val="5"/>
                <c:pt idx="0">
                  <c:v>FDR-034</c:v>
                </c:pt>
                <c:pt idx="1">
                  <c:v>FDR-036</c:v>
                </c:pt>
                <c:pt idx="2">
                  <c:v>FDR-029</c:v>
                </c:pt>
                <c:pt idx="3">
                  <c:v>FDR-030</c:v>
                </c:pt>
                <c:pt idx="4">
                  <c:v>FDR-037</c:v>
                </c:pt>
              </c:strCache>
            </c:strRef>
          </c:cat>
          <c:val>
            <c:numRef>
              <c:f>'Revenue'!$J$4:$J$9</c:f>
              <c:numCache>
                <c:formatCode>0</c:formatCode>
                <c:ptCount val="5"/>
                <c:pt idx="0">
                  <c:v>677474938.52999997</c:v>
                </c:pt>
                <c:pt idx="1">
                  <c:v>627301805.13</c:v>
                </c:pt>
                <c:pt idx="2">
                  <c:v>622733164.55999994</c:v>
                </c:pt>
                <c:pt idx="3">
                  <c:v>557495486.73000002</c:v>
                </c:pt>
                <c:pt idx="4">
                  <c:v>556944272.82000005</c:v>
                </c:pt>
              </c:numCache>
            </c:numRef>
          </c:val>
          <c:extLst>
            <c:ext xmlns:c16="http://schemas.microsoft.com/office/drawing/2014/chart" uri="{C3380CC4-5D6E-409C-BE32-E72D297353CC}">
              <c16:uniqueId val="{00000001-B90B-49FD-B941-AA1C5DE60437}"/>
            </c:ext>
          </c:extLst>
        </c:ser>
        <c:dLbls>
          <c:showLegendKey val="0"/>
          <c:showVal val="0"/>
          <c:showCatName val="0"/>
          <c:showSerName val="0"/>
          <c:showPercent val="0"/>
          <c:showBubbleSize val="0"/>
        </c:dLbls>
        <c:gapWidth val="219"/>
        <c:overlap val="-27"/>
        <c:axId val="1612940304"/>
        <c:axId val="1612941264"/>
      </c:barChart>
      <c:catAx>
        <c:axId val="161294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41264"/>
        <c:crosses val="autoZero"/>
        <c:auto val="1"/>
        <c:lblAlgn val="ctr"/>
        <c:lblOffset val="100"/>
        <c:noMultiLvlLbl val="0"/>
      </c:catAx>
      <c:valAx>
        <c:axId val="161294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4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1177013</xdr:colOff>
      <xdr:row>36</xdr:row>
      <xdr:rowOff>52682</xdr:rowOff>
    </xdr:from>
    <xdr:to>
      <xdr:col>15</xdr:col>
      <xdr:colOff>575866</xdr:colOff>
      <xdr:row>50</xdr:row>
      <xdr:rowOff>32620</xdr:rowOff>
    </xdr:to>
    <mc:AlternateContent xmlns:mc="http://schemas.openxmlformats.org/markup-compatibility/2006" xmlns:a14="http://schemas.microsoft.com/office/drawing/2010/main">
      <mc:Choice Requires="a14">
        <xdr:graphicFrame macro="">
          <xdr:nvGraphicFramePr>
            <xdr:cNvPr id="2" name="StationName">
              <a:extLst>
                <a:ext uri="{FF2B5EF4-FFF2-40B4-BE49-F238E27FC236}">
                  <a16:creationId xmlns:a16="http://schemas.microsoft.com/office/drawing/2014/main" id="{C7BAEEFB-460E-D6AF-77FD-D48B4C81DF89}"/>
                </a:ext>
              </a:extLst>
            </xdr:cNvPr>
            <xdr:cNvGraphicFramePr/>
          </xdr:nvGraphicFramePr>
          <xdr:xfrm>
            <a:off x="0" y="0"/>
            <a:ext cx="0" cy="0"/>
          </xdr:xfrm>
          <a:graphic>
            <a:graphicData uri="http://schemas.microsoft.com/office/drawing/2010/slicer">
              <sle:slicer xmlns:sle="http://schemas.microsoft.com/office/drawing/2010/slicer" name="StationName"/>
            </a:graphicData>
          </a:graphic>
        </xdr:graphicFrame>
      </mc:Choice>
      <mc:Fallback xmlns="">
        <xdr:sp macro="" textlink="">
          <xdr:nvSpPr>
            <xdr:cNvPr id="0" name=""/>
            <xdr:cNvSpPr>
              <a:spLocks noTextEdit="1"/>
            </xdr:cNvSpPr>
          </xdr:nvSpPr>
          <xdr:spPr>
            <a:xfrm>
              <a:off x="18331084" y="6584111"/>
              <a:ext cx="1839068" cy="2519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27214</xdr:colOff>
      <xdr:row>35</xdr:row>
      <xdr:rowOff>170544</xdr:rowOff>
    </xdr:from>
    <xdr:to>
      <xdr:col>22</xdr:col>
      <xdr:colOff>544286</xdr:colOff>
      <xdr:row>51</xdr:row>
      <xdr:rowOff>10887</xdr:rowOff>
    </xdr:to>
    <xdr:graphicFrame macro="">
      <xdr:nvGraphicFramePr>
        <xdr:cNvPr id="3" name="Chart 2">
          <a:extLst>
            <a:ext uri="{FF2B5EF4-FFF2-40B4-BE49-F238E27FC236}">
              <a16:creationId xmlns:a16="http://schemas.microsoft.com/office/drawing/2014/main" id="{64A8ABDC-1D8C-CBA0-B680-DA4251798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159163</xdr:colOff>
      <xdr:row>9</xdr:row>
      <xdr:rowOff>0</xdr:rowOff>
    </xdr:from>
    <xdr:to>
      <xdr:col>12</xdr:col>
      <xdr:colOff>57727</xdr:colOff>
      <xdr:row>21</xdr:row>
      <xdr:rowOff>115453</xdr:rowOff>
    </xdr:to>
    <xdr:graphicFrame macro="">
      <xdr:nvGraphicFramePr>
        <xdr:cNvPr id="2" name="Chart 1">
          <a:extLst>
            <a:ext uri="{FF2B5EF4-FFF2-40B4-BE49-F238E27FC236}">
              <a16:creationId xmlns:a16="http://schemas.microsoft.com/office/drawing/2014/main" id="{BE943151-ACDB-10D4-4895-8C09E3564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18522</xdr:colOff>
      <xdr:row>2</xdr:row>
      <xdr:rowOff>169863</xdr:rowOff>
    </xdr:from>
    <xdr:to>
      <xdr:col>18</xdr:col>
      <xdr:colOff>22186</xdr:colOff>
      <xdr:row>17</xdr:row>
      <xdr:rowOff>152400</xdr:rowOff>
    </xdr:to>
    <xdr:graphicFrame macro="">
      <xdr:nvGraphicFramePr>
        <xdr:cNvPr id="3" name="Chart 2">
          <a:extLst>
            <a:ext uri="{FF2B5EF4-FFF2-40B4-BE49-F238E27FC236}">
              <a16:creationId xmlns:a16="http://schemas.microsoft.com/office/drawing/2014/main" id="{CE9F4D60-F8C2-6FAC-D518-5D9C27B0D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6460</xdr:colOff>
      <xdr:row>1</xdr:row>
      <xdr:rowOff>5349</xdr:rowOff>
    </xdr:from>
    <xdr:to>
      <xdr:col>17</xdr:col>
      <xdr:colOff>307542</xdr:colOff>
      <xdr:row>15</xdr:row>
      <xdr:rowOff>160321</xdr:rowOff>
    </xdr:to>
    <xdr:graphicFrame macro="">
      <xdr:nvGraphicFramePr>
        <xdr:cNvPr id="2" name="Chart 1">
          <a:extLst>
            <a:ext uri="{FF2B5EF4-FFF2-40B4-BE49-F238E27FC236}">
              <a16:creationId xmlns:a16="http://schemas.microsoft.com/office/drawing/2014/main" id="{6B096E0F-BABF-89ED-61B8-7F7928988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Hyder" refreshedDate="46026.500452893517" createdVersion="8" refreshedVersion="8" minRefreshableVersion="3" recordCount="480" xr:uid="{2CB46E8B-3B95-45BD-87CC-11F7AA7463CE}">
  <cacheSource type="worksheet">
    <worksheetSource name="MonthlyConsumption"/>
  </cacheSource>
  <cacheFields count="3">
    <cacheField name="FeederID" numFmtId="0">
      <sharedItems count="40">
        <s v="FDR-001"/>
        <s v="FDR-002"/>
        <s v="FDR-003"/>
        <s v="FDR-004"/>
        <s v="FDR-005"/>
        <s v="FDR-006"/>
        <s v="FDR-007"/>
        <s v="FDR-008"/>
        <s v="FDR-009"/>
        <s v="FDR-010"/>
        <s v="FDR-011"/>
        <s v="FDR-012"/>
        <s v="FDR-013"/>
        <s v="FDR-014"/>
        <s v="FDR-015"/>
        <s v="FDR-016"/>
        <s v="FDR-017"/>
        <s v="FDR-018"/>
        <s v="FDR-019"/>
        <s v="FDR-020"/>
        <s v="FDR-021"/>
        <s v="FDR-022"/>
        <s v="FDR-023"/>
        <s v="FDR-024"/>
        <s v="FDR-025"/>
        <s v="FDR-026"/>
        <s v="FDR-027"/>
        <s v="FDR-028"/>
        <s v="FDR-029"/>
        <s v="FDR-030"/>
        <s v="FDR-031"/>
        <s v="FDR-032"/>
        <s v="FDR-033"/>
        <s v="FDR-034"/>
        <s v="FDR-035"/>
        <s v="FDR-036"/>
        <s v="FDR-037"/>
        <s v="FDR-038"/>
        <s v="FDR-039"/>
        <s v="FDR-040"/>
      </sharedItems>
    </cacheField>
    <cacheField name="Month" numFmtId="0">
      <sharedItems count="12">
        <s v="Jul-25"/>
        <s v="Aug-25"/>
        <s v="Sep-25"/>
        <s v="Oct-25"/>
        <s v="Nov-25"/>
        <s v="Dec-25"/>
        <s v="Jan-26"/>
        <s v="Feb-26"/>
        <s v="Mar-26"/>
        <s v="Apr-26"/>
        <s v="May-26"/>
        <s v="Jun-26"/>
      </sharedItems>
    </cacheField>
    <cacheField name="kWh" numFmtId="0">
      <sharedItems containsSemiMixedTypes="0" containsString="0" containsNumber="1" containsInteger="1" minValue="393954" maxValue="1869187"/>
    </cacheField>
  </cacheFields>
  <extLst>
    <ext xmlns:x14="http://schemas.microsoft.com/office/spreadsheetml/2009/9/main" uri="{725AE2AE-9491-48be-B2B4-4EB974FC3084}">
      <x14:pivotCacheDefinition pivotCacheId="2020513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Hyder" refreshedDate="46026.532681249999" createdVersion="8" refreshedVersion="8" minRefreshableVersion="3" recordCount="40" xr:uid="{F9986540-2BD9-439B-B648-CE8498AC66A6}">
  <cacheSource type="worksheet">
    <worksheetSource name="Feeders"/>
  </cacheSource>
  <cacheFields count="10">
    <cacheField name="StationID" numFmtId="0">
      <sharedItems containsSemiMixedTypes="0" containsString="0" containsNumber="1" containsInteger="1" minValue="1" maxValue="3" count="3">
        <n v="1"/>
        <n v="2"/>
        <n v="3"/>
      </sharedItems>
    </cacheField>
    <cacheField name="StationName" numFmtId="0">
      <sharedItems count="3">
        <s v="Haripur 132kV – Urban"/>
        <s v="Haripur 66kV – Semi-Urban"/>
        <s v="Hattar 132kV – Industrial"/>
      </sharedItems>
    </cacheField>
    <cacheField name="Voltage" numFmtId="0">
      <sharedItems/>
    </cacheField>
    <cacheField name="AreaTag" numFmtId="0">
      <sharedItems/>
    </cacheField>
    <cacheField name="UCName" numFmtId="0">
      <sharedItems/>
    </cacheField>
    <cacheField name="FeederID" numFmtId="0">
      <sharedItems count="40">
        <s v="FDR-001"/>
        <s v="FDR-002"/>
        <s v="FDR-003"/>
        <s v="FDR-004"/>
        <s v="FDR-005"/>
        <s v="FDR-006"/>
        <s v="FDR-007"/>
        <s v="FDR-008"/>
        <s v="FDR-009"/>
        <s v="FDR-010"/>
        <s v="FDR-011"/>
        <s v="FDR-012"/>
        <s v="FDR-013"/>
        <s v="FDR-014"/>
        <s v="FDR-015"/>
        <s v="FDR-016"/>
        <s v="FDR-017"/>
        <s v="FDR-018"/>
        <s v="FDR-019"/>
        <s v="FDR-020"/>
        <s v="FDR-021"/>
        <s v="FDR-022"/>
        <s v="FDR-023"/>
        <s v="FDR-024"/>
        <s v="FDR-025"/>
        <s v="FDR-026"/>
        <s v="FDR-027"/>
        <s v="FDR-028"/>
        <s v="FDR-029"/>
        <s v="FDR-030"/>
        <s v="FDR-031"/>
        <s v="FDR-032"/>
        <s v="FDR-033"/>
        <s v="FDR-034"/>
        <s v="FDR-035"/>
        <s v="FDR-036"/>
        <s v="FDR-037"/>
        <s v="FDR-038"/>
        <s v="FDR-039"/>
        <s v="FDR-040"/>
      </sharedItems>
    </cacheField>
    <cacheField name="FeederName" numFmtId="0">
      <sharedItems count="28">
        <s v="Haripur-01"/>
        <s v="Haripur-02"/>
        <s v="Haripur-03"/>
        <s v="Haripur-04"/>
        <s v="Haripur-05"/>
        <s v="Haripur-06"/>
        <s v="Haripur-07"/>
        <s v="Haripur-08"/>
        <s v="Haripur-09"/>
        <s v="Haripur-10"/>
        <s v="Haripur-11"/>
        <s v="Haripur-12"/>
        <s v="Haripur-13"/>
        <s v="Haripur-14"/>
        <s v="Haripur-15"/>
        <s v="Haripur-16"/>
        <s v="Hattar-01"/>
        <s v="Hattar-02"/>
        <s v="Hattar-03"/>
        <s v="Hattar-04"/>
        <s v="Hattar-05"/>
        <s v="Hattar-06"/>
        <s v="Hattar-07"/>
        <s v="Hattar-08"/>
        <s v="Hattar-09"/>
        <s v="Hattar-10"/>
        <s v="Hattar-11"/>
        <s v="Hattar-12"/>
      </sharedItems>
    </cacheField>
    <cacheField name="AvgSupplyHoursPerDay" numFmtId="0">
      <sharedItems containsSemiMixedTypes="0" containsString="0" containsNumber="1" containsInteger="1" minValue="17" maxValue="23"/>
    </cacheField>
    <cacheField name="ProtectedResidentialShare" numFmtId="0">
      <sharedItems containsSemiMixedTypes="0" containsString="0" containsNumber="1" minValue="0.45" maxValue="0.6"/>
    </cacheField>
    <cacheField name="ConnectedLoad_kW" numFmtId="0">
      <sharedItems containsSemiMixedTypes="0" containsString="0" containsNumber="1" minValue="3318.5" maxValue="11869.4"/>
    </cacheField>
  </cacheFields>
  <extLst>
    <ext xmlns:x14="http://schemas.microsoft.com/office/spreadsheetml/2009/9/main" uri="{725AE2AE-9491-48be-B2B4-4EB974FC3084}">
      <x14:pivotCacheDefinition pivotCacheId="113627031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shan Hyder" refreshedDate="46026.637034375002" createdVersion="8" refreshedVersion="8" minRefreshableVersion="3" recordCount="40" xr:uid="{43B6F4F8-1B6B-4D49-B591-28A8F89E557B}">
  <cacheSource type="worksheet">
    <worksheetSource name="Revenue"/>
  </cacheSource>
  <cacheFields count="4">
    <cacheField name="FeederID" numFmtId="0">
      <sharedItems count="40">
        <s v="FDR-001"/>
        <s v="FDR-002"/>
        <s v="FDR-003"/>
        <s v="FDR-004"/>
        <s v="FDR-005"/>
        <s v="FDR-006"/>
        <s v="FDR-007"/>
        <s v="FDR-008"/>
        <s v="FDR-009"/>
        <s v="FDR-010"/>
        <s v="FDR-011"/>
        <s v="FDR-012"/>
        <s v="FDR-013"/>
        <s v="FDR-014"/>
        <s v="FDR-015"/>
        <s v="FDR-016"/>
        <s v="FDR-017"/>
        <s v="FDR-018"/>
        <s v="FDR-019"/>
        <s v="FDR-020"/>
        <s v="FDR-021"/>
        <s v="FDR-022"/>
        <s v="FDR-023"/>
        <s v="FDR-024"/>
        <s v="FDR-025"/>
        <s v="FDR-026"/>
        <s v="FDR-027"/>
        <s v="FDR-028"/>
        <s v="FDR-029"/>
        <s v="FDR-030"/>
        <s v="FDR-031"/>
        <s v="FDR-032"/>
        <s v="FDR-033"/>
        <s v="FDR-034"/>
        <s v="FDR-035"/>
        <s v="FDR-036"/>
        <s v="FDR-037"/>
        <s v="FDR-038"/>
        <s v="FDR-039"/>
        <s v="FDR-040"/>
      </sharedItems>
    </cacheField>
    <cacheField name="Annual_kWh" numFmtId="0">
      <sharedItems containsSemiMixedTypes="0" containsString="0" containsNumber="1" containsInteger="1" minValue="5290218" maxValue="21445867" count="40">
        <n v="7954271"/>
        <n v="12456085"/>
        <n v="13605312"/>
        <n v="13526124"/>
        <n v="13547086"/>
        <n v="12034675"/>
        <n v="12096179"/>
        <n v="10047349"/>
        <n v="7570998"/>
        <n v="9471933"/>
        <n v="14147787"/>
        <n v="14759616"/>
        <n v="12946379"/>
        <n v="10627764"/>
        <n v="11566135"/>
        <n v="10309019"/>
        <n v="6093566"/>
        <n v="5705675"/>
        <n v="5863373"/>
        <n v="8750618"/>
        <n v="6722569"/>
        <n v="8539689"/>
        <n v="5401127"/>
        <n v="9093888"/>
        <n v="9489501"/>
        <n v="5290218"/>
        <n v="7726178"/>
        <n v="6459930"/>
        <n v="19712984"/>
        <n v="17647847"/>
        <n v="13737862"/>
        <n v="15764952"/>
        <n v="12641507"/>
        <n v="21445867"/>
        <n v="16061969"/>
        <n v="19857607"/>
        <n v="17630398"/>
        <n v="17606060"/>
        <n v="15595072"/>
        <n v="15567795"/>
      </sharedItems>
    </cacheField>
    <cacheField name="RatePKR_per_kWh" numFmtId="0">
      <sharedItems containsSemiMixedTypes="0" containsString="0" containsNumber="1" minValue="31.59" maxValue="31.59"/>
    </cacheField>
    <cacheField name="Annual_Revenue_PKR" numFmtId="1">
      <sharedItems containsSemiMixedTypes="0" containsString="0" containsNumber="1" minValue="167117986.62" maxValue="677474938.52999997" count="40">
        <n v="251275420.88999999"/>
        <n v="393487725.14999998"/>
        <n v="429791806.07999998"/>
        <n v="427290257.16000003"/>
        <n v="427952446.74000001"/>
        <n v="380175383.25"/>
        <n v="382118294.61000001"/>
        <n v="317395754.91000003"/>
        <n v="239167826.81999999"/>
        <n v="299218363.46999997"/>
        <n v="446928591.32999998"/>
        <n v="466256269.44"/>
        <n v="408976112.61000001"/>
        <n v="335731064.75999999"/>
        <n v="365374204.64999998"/>
        <n v="325661910.20999998"/>
        <n v="192495749.94"/>
        <n v="180242273.25"/>
        <n v="185223953.06999999"/>
        <n v="276432022.62"/>
        <n v="212365954.71000001"/>
        <n v="269768775.50999999"/>
        <n v="170621601.93000001"/>
        <n v="287275921.92000002"/>
        <n v="299773336.58999997"/>
        <n v="167117986.62"/>
        <n v="244069963.02000001"/>
        <n v="204069188.69999999"/>
        <n v="622733164.55999994"/>
        <n v="557495486.73000002"/>
        <n v="433979060.57999998"/>
        <n v="498014833.68000001"/>
        <n v="399345206.13"/>
        <n v="677474938.52999997"/>
        <n v="507397600.70999998"/>
        <n v="627301805.13"/>
        <n v="556944272.82000005"/>
        <n v="556175435.39999998"/>
        <n v="492648324.48000002"/>
        <n v="491786644.0500000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n v="705515"/>
  </r>
  <r>
    <x v="0"/>
    <x v="1"/>
    <n v="723397"/>
  </r>
  <r>
    <x v="0"/>
    <x v="2"/>
    <n v="679743"/>
  </r>
  <r>
    <x v="0"/>
    <x v="3"/>
    <n v="661838"/>
  </r>
  <r>
    <x v="0"/>
    <x v="4"/>
    <n v="632147"/>
  </r>
  <r>
    <x v="0"/>
    <x v="5"/>
    <n v="610672"/>
  </r>
  <r>
    <x v="0"/>
    <x v="6"/>
    <n v="609273"/>
  </r>
  <r>
    <x v="0"/>
    <x v="7"/>
    <n v="619654"/>
  </r>
  <r>
    <x v="0"/>
    <x v="8"/>
    <n v="640433"/>
  </r>
  <r>
    <x v="0"/>
    <x v="9"/>
    <n v="664051"/>
  </r>
  <r>
    <x v="0"/>
    <x v="10"/>
    <n v="692325"/>
  </r>
  <r>
    <x v="0"/>
    <x v="11"/>
    <n v="715223"/>
  </r>
  <r>
    <x v="1"/>
    <x v="0"/>
    <n v="1089305"/>
  </r>
  <r>
    <x v="1"/>
    <x v="1"/>
    <n v="1112383"/>
  </r>
  <r>
    <x v="1"/>
    <x v="2"/>
    <n v="1056486"/>
  </r>
  <r>
    <x v="1"/>
    <x v="3"/>
    <n v="1032021"/>
  </r>
  <r>
    <x v="1"/>
    <x v="4"/>
    <n v="992777"/>
  </r>
  <r>
    <x v="1"/>
    <x v="5"/>
    <n v="964603"/>
  </r>
  <r>
    <x v="1"/>
    <x v="6"/>
    <n v="967716"/>
  </r>
  <r>
    <x v="1"/>
    <x v="7"/>
    <n v="982459"/>
  </r>
  <r>
    <x v="1"/>
    <x v="8"/>
    <n v="1015168"/>
  </r>
  <r>
    <x v="1"/>
    <x v="9"/>
    <n v="1046563"/>
  </r>
  <r>
    <x v="1"/>
    <x v="10"/>
    <n v="1083522"/>
  </r>
  <r>
    <x v="1"/>
    <x v="11"/>
    <n v="1113082"/>
  </r>
  <r>
    <x v="2"/>
    <x v="0"/>
    <n v="1187422"/>
  </r>
  <r>
    <x v="2"/>
    <x v="1"/>
    <n v="1211198"/>
  </r>
  <r>
    <x v="2"/>
    <x v="2"/>
    <n v="1152132"/>
  </r>
  <r>
    <x v="2"/>
    <x v="3"/>
    <n v="1126506"/>
  </r>
  <r>
    <x v="2"/>
    <x v="4"/>
    <n v="1088518"/>
  </r>
  <r>
    <x v="2"/>
    <x v="5"/>
    <n v="1058990"/>
  </r>
  <r>
    <x v="2"/>
    <x v="6"/>
    <n v="1064520"/>
  </r>
  <r>
    <x v="2"/>
    <x v="7"/>
    <n v="1079990"/>
  </r>
  <r>
    <x v="2"/>
    <x v="8"/>
    <n v="1108795"/>
  </r>
  <r>
    <x v="2"/>
    <x v="9"/>
    <n v="1140350"/>
  </r>
  <r>
    <x v="2"/>
    <x v="10"/>
    <n v="1178172"/>
  </r>
  <r>
    <x v="2"/>
    <x v="11"/>
    <n v="1208719"/>
  </r>
  <r>
    <x v="3"/>
    <x v="0"/>
    <n v="1181962"/>
  </r>
  <r>
    <x v="3"/>
    <x v="1"/>
    <n v="1206782"/>
  </r>
  <r>
    <x v="3"/>
    <x v="2"/>
    <n v="1146702"/>
  </r>
  <r>
    <x v="3"/>
    <x v="3"/>
    <n v="1120698"/>
  </r>
  <r>
    <x v="3"/>
    <x v="4"/>
    <n v="1079584"/>
  </r>
  <r>
    <x v="3"/>
    <x v="5"/>
    <n v="1049498"/>
  </r>
  <r>
    <x v="3"/>
    <x v="6"/>
    <n v="1053486"/>
  </r>
  <r>
    <x v="3"/>
    <x v="7"/>
    <n v="1069352"/>
  </r>
  <r>
    <x v="3"/>
    <x v="8"/>
    <n v="1102183"/>
  </r>
  <r>
    <x v="3"/>
    <x v="9"/>
    <n v="1135346"/>
  </r>
  <r>
    <x v="3"/>
    <x v="10"/>
    <n v="1174476"/>
  </r>
  <r>
    <x v="3"/>
    <x v="11"/>
    <n v="1206055"/>
  </r>
  <r>
    <x v="4"/>
    <x v="0"/>
    <n v="1180037"/>
  </r>
  <r>
    <x v="4"/>
    <x v="1"/>
    <n v="1203691"/>
  </r>
  <r>
    <x v="4"/>
    <x v="2"/>
    <n v="1146366"/>
  </r>
  <r>
    <x v="4"/>
    <x v="3"/>
    <n v="1121784"/>
  </r>
  <r>
    <x v="4"/>
    <x v="4"/>
    <n v="1084463"/>
  </r>
  <r>
    <x v="4"/>
    <x v="5"/>
    <n v="1055983"/>
  </r>
  <r>
    <x v="4"/>
    <x v="6"/>
    <n v="1061874"/>
  </r>
  <r>
    <x v="4"/>
    <x v="7"/>
    <n v="1077265"/>
  </r>
  <r>
    <x v="4"/>
    <x v="8"/>
    <n v="1105234"/>
  </r>
  <r>
    <x v="4"/>
    <x v="9"/>
    <n v="1135951"/>
  </r>
  <r>
    <x v="4"/>
    <x v="10"/>
    <n v="1172328"/>
  </r>
  <r>
    <x v="4"/>
    <x v="11"/>
    <n v="1202110"/>
  </r>
  <r>
    <x v="5"/>
    <x v="0"/>
    <n v="1060301"/>
  </r>
  <r>
    <x v="5"/>
    <x v="1"/>
    <n v="1084261"/>
  </r>
  <r>
    <x v="5"/>
    <x v="2"/>
    <n v="1024563"/>
  </r>
  <r>
    <x v="5"/>
    <x v="3"/>
    <n v="997984"/>
  </r>
  <r>
    <x v="5"/>
    <x v="4"/>
    <n v="954779"/>
  </r>
  <r>
    <x v="5"/>
    <x v="5"/>
    <n v="924304"/>
  </r>
  <r>
    <x v="5"/>
    <x v="6"/>
    <n v="924435"/>
  </r>
  <r>
    <x v="5"/>
    <x v="7"/>
    <n v="939340"/>
  </r>
  <r>
    <x v="5"/>
    <x v="8"/>
    <n v="977153"/>
  </r>
  <r>
    <x v="5"/>
    <x v="9"/>
    <n v="1011415"/>
  </r>
  <r>
    <x v="5"/>
    <x v="10"/>
    <n v="1052199"/>
  </r>
  <r>
    <x v="5"/>
    <x v="11"/>
    <n v="1083941"/>
  </r>
  <r>
    <x v="6"/>
    <x v="0"/>
    <n v="1061217"/>
  </r>
  <r>
    <x v="6"/>
    <x v="1"/>
    <n v="1084263"/>
  </r>
  <r>
    <x v="6"/>
    <x v="2"/>
    <n v="1027575"/>
  </r>
  <r>
    <x v="6"/>
    <x v="3"/>
    <n v="1002476"/>
  </r>
  <r>
    <x v="6"/>
    <x v="4"/>
    <n v="962061"/>
  </r>
  <r>
    <x v="6"/>
    <x v="5"/>
    <n v="933270"/>
  </r>
  <r>
    <x v="6"/>
    <x v="6"/>
    <n v="935073"/>
  </r>
  <r>
    <x v="6"/>
    <x v="7"/>
    <n v="949656"/>
  </r>
  <r>
    <x v="6"/>
    <x v="8"/>
    <n v="984396"/>
  </r>
  <r>
    <x v="6"/>
    <x v="9"/>
    <n v="1016613"/>
  </r>
  <r>
    <x v="6"/>
    <x v="10"/>
    <n v="1054761"/>
  </r>
  <r>
    <x v="6"/>
    <x v="11"/>
    <n v="1084818"/>
  </r>
  <r>
    <x v="7"/>
    <x v="0"/>
    <n v="890613"/>
  </r>
  <r>
    <x v="7"/>
    <x v="1"/>
    <n v="912315"/>
  </r>
  <r>
    <x v="7"/>
    <x v="2"/>
    <n v="858105"/>
  </r>
  <r>
    <x v="7"/>
    <x v="3"/>
    <n v="834784"/>
  </r>
  <r>
    <x v="7"/>
    <x v="4"/>
    <n v="796629"/>
  </r>
  <r>
    <x v="7"/>
    <x v="5"/>
    <n v="769350"/>
  </r>
  <r>
    <x v="7"/>
    <x v="6"/>
    <n v="767745"/>
  </r>
  <r>
    <x v="7"/>
    <x v="7"/>
    <n v="780684"/>
  </r>
  <r>
    <x v="7"/>
    <x v="8"/>
    <n v="811194"/>
  </r>
  <r>
    <x v="7"/>
    <x v="9"/>
    <n v="841509"/>
  </r>
  <r>
    <x v="7"/>
    <x v="10"/>
    <n v="877899"/>
  </r>
  <r>
    <x v="7"/>
    <x v="11"/>
    <n v="906522"/>
  </r>
  <r>
    <x v="8"/>
    <x v="0"/>
    <n v="676786"/>
  </r>
  <r>
    <x v="8"/>
    <x v="1"/>
    <n v="694550"/>
  </r>
  <r>
    <x v="8"/>
    <x v="2"/>
    <n v="649422"/>
  </r>
  <r>
    <x v="8"/>
    <x v="3"/>
    <n v="630024"/>
  </r>
  <r>
    <x v="8"/>
    <x v="4"/>
    <n v="597916"/>
  </r>
  <r>
    <x v="8"/>
    <x v="5"/>
    <n v="575138"/>
  </r>
  <r>
    <x v="8"/>
    <x v="6"/>
    <n v="571914"/>
  </r>
  <r>
    <x v="8"/>
    <x v="7"/>
    <n v="582164"/>
  </r>
  <r>
    <x v="8"/>
    <x v="8"/>
    <n v="607915"/>
  </r>
  <r>
    <x v="8"/>
    <x v="9"/>
    <n v="633290"/>
  </r>
  <r>
    <x v="8"/>
    <x v="10"/>
    <n v="664008"/>
  </r>
  <r>
    <x v="8"/>
    <x v="11"/>
    <n v="687871"/>
  </r>
  <r>
    <x v="9"/>
    <x v="0"/>
    <n v="831846"/>
  </r>
  <r>
    <x v="9"/>
    <x v="1"/>
    <n v="850380"/>
  </r>
  <r>
    <x v="9"/>
    <x v="2"/>
    <n v="805110"/>
  </r>
  <r>
    <x v="9"/>
    <x v="3"/>
    <n v="785655"/>
  </r>
  <r>
    <x v="9"/>
    <x v="4"/>
    <n v="754386"/>
  </r>
  <r>
    <x v="9"/>
    <x v="5"/>
    <n v="731724"/>
  </r>
  <r>
    <x v="9"/>
    <x v="6"/>
    <n v="732996"/>
  </r>
  <r>
    <x v="9"/>
    <x v="7"/>
    <n v="744504"/>
  </r>
  <r>
    <x v="9"/>
    <x v="8"/>
    <n v="769212"/>
  </r>
  <r>
    <x v="9"/>
    <x v="9"/>
    <n v="794268"/>
  </r>
  <r>
    <x v="9"/>
    <x v="10"/>
    <n v="824010"/>
  </r>
  <r>
    <x v="9"/>
    <x v="11"/>
    <n v="847842"/>
  </r>
  <r>
    <x v="10"/>
    <x v="0"/>
    <n v="1232354"/>
  </r>
  <r>
    <x v="10"/>
    <x v="1"/>
    <n v="1257574"/>
  </r>
  <r>
    <x v="10"/>
    <x v="2"/>
    <n v="1197621"/>
  </r>
  <r>
    <x v="10"/>
    <x v="3"/>
    <n v="1171658"/>
  </r>
  <r>
    <x v="10"/>
    <x v="4"/>
    <n v="1130228"/>
  </r>
  <r>
    <x v="10"/>
    <x v="5"/>
    <n v="1100245"/>
  </r>
  <r>
    <x v="10"/>
    <x v="6"/>
    <n v="1105515"/>
  </r>
  <r>
    <x v="10"/>
    <x v="7"/>
    <n v="1121869"/>
  </r>
  <r>
    <x v="10"/>
    <x v="8"/>
    <n v="1155382"/>
  </r>
  <r>
    <x v="10"/>
    <x v="9"/>
    <n v="1188664"/>
  </r>
  <r>
    <x v="10"/>
    <x v="10"/>
    <n v="1227525"/>
  </r>
  <r>
    <x v="10"/>
    <x v="11"/>
    <n v="1259152"/>
  </r>
  <r>
    <x v="11"/>
    <x v="0"/>
    <n v="1285146"/>
  </r>
  <r>
    <x v="11"/>
    <x v="1"/>
    <n v="1311090"/>
  </r>
  <r>
    <x v="11"/>
    <x v="2"/>
    <n v="1249200"/>
  </r>
  <r>
    <x v="11"/>
    <x v="3"/>
    <n v="1221612"/>
  </r>
  <r>
    <x v="11"/>
    <x v="4"/>
    <n v="1177062"/>
  </r>
  <r>
    <x v="11"/>
    <x v="5"/>
    <n v="1145652"/>
  </r>
  <r>
    <x v="11"/>
    <x v="6"/>
    <n v="1150938"/>
  </r>
  <r>
    <x v="11"/>
    <x v="7"/>
    <n v="1167996"/>
  </r>
  <r>
    <x v="11"/>
    <x v="8"/>
    <n v="1207290"/>
  </r>
  <r>
    <x v="11"/>
    <x v="9"/>
    <n v="1242738"/>
  </r>
  <r>
    <x v="11"/>
    <x v="10"/>
    <n v="1283964"/>
  </r>
  <r>
    <x v="11"/>
    <x v="11"/>
    <n v="1316928"/>
  </r>
  <r>
    <x v="12"/>
    <x v="0"/>
    <n v="1126339"/>
  </r>
  <r>
    <x v="12"/>
    <x v="1"/>
    <n v="1148849"/>
  </r>
  <r>
    <x v="12"/>
    <x v="2"/>
    <n v="1095117"/>
  </r>
  <r>
    <x v="12"/>
    <x v="3"/>
    <n v="1071722"/>
  </r>
  <r>
    <x v="12"/>
    <x v="4"/>
    <n v="1034989"/>
  </r>
  <r>
    <x v="12"/>
    <x v="5"/>
    <n v="1008080"/>
  </r>
  <r>
    <x v="12"/>
    <x v="6"/>
    <n v="1013571"/>
  </r>
  <r>
    <x v="12"/>
    <x v="7"/>
    <n v="1028336"/>
  </r>
  <r>
    <x v="12"/>
    <x v="8"/>
    <n v="1058131"/>
  </r>
  <r>
    <x v="12"/>
    <x v="9"/>
    <n v="1087835"/>
  </r>
  <r>
    <x v="12"/>
    <x v="10"/>
    <n v="1122573"/>
  </r>
  <r>
    <x v="12"/>
    <x v="11"/>
    <n v="1150837"/>
  </r>
  <r>
    <x v="13"/>
    <x v="0"/>
    <n v="929002"/>
  </r>
  <r>
    <x v="13"/>
    <x v="1"/>
    <n v="948110"/>
  </r>
  <r>
    <x v="13"/>
    <x v="2"/>
    <n v="900972"/>
  </r>
  <r>
    <x v="13"/>
    <x v="3"/>
    <n v="879966"/>
  </r>
  <r>
    <x v="13"/>
    <x v="4"/>
    <n v="847138"/>
  </r>
  <r>
    <x v="13"/>
    <x v="5"/>
    <n v="823190"/>
  </r>
  <r>
    <x v="13"/>
    <x v="6"/>
    <n v="826272"/>
  </r>
  <r>
    <x v="13"/>
    <x v="7"/>
    <n v="838670"/>
  </r>
  <r>
    <x v="13"/>
    <x v="8"/>
    <n v="866815"/>
  </r>
  <r>
    <x v="13"/>
    <x v="9"/>
    <n v="893318"/>
  </r>
  <r>
    <x v="13"/>
    <x v="10"/>
    <n v="924732"/>
  </r>
  <r>
    <x v="13"/>
    <x v="11"/>
    <n v="949579"/>
  </r>
  <r>
    <x v="14"/>
    <x v="0"/>
    <n v="1016659"/>
  </r>
  <r>
    <x v="14"/>
    <x v="1"/>
    <n v="1038869"/>
  </r>
  <r>
    <x v="14"/>
    <x v="2"/>
    <n v="983307"/>
  </r>
  <r>
    <x v="14"/>
    <x v="3"/>
    <n v="958684"/>
  </r>
  <r>
    <x v="14"/>
    <x v="4"/>
    <n v="919753"/>
  </r>
  <r>
    <x v="14"/>
    <x v="5"/>
    <n v="891512"/>
  </r>
  <r>
    <x v="14"/>
    <x v="6"/>
    <n v="892899"/>
  </r>
  <r>
    <x v="14"/>
    <x v="7"/>
    <n v="906884"/>
  </r>
  <r>
    <x v="14"/>
    <x v="8"/>
    <n v="939913"/>
  </r>
  <r>
    <x v="14"/>
    <x v="9"/>
    <n v="971195"/>
  </r>
  <r>
    <x v="14"/>
    <x v="10"/>
    <n v="1008579"/>
  </r>
  <r>
    <x v="14"/>
    <x v="11"/>
    <n v="1037881"/>
  </r>
  <r>
    <x v="15"/>
    <x v="0"/>
    <n v="913251"/>
  </r>
  <r>
    <x v="15"/>
    <x v="1"/>
    <n v="935439"/>
  </r>
  <r>
    <x v="15"/>
    <x v="2"/>
    <n v="880035"/>
  </r>
  <r>
    <x v="15"/>
    <x v="3"/>
    <n v="856904"/>
  </r>
  <r>
    <x v="15"/>
    <x v="4"/>
    <n v="820059"/>
  </r>
  <r>
    <x v="15"/>
    <x v="5"/>
    <n v="792618"/>
  </r>
  <r>
    <x v="15"/>
    <x v="6"/>
    <n v="791721"/>
  </r>
  <r>
    <x v="15"/>
    <x v="7"/>
    <n v="804840"/>
  </r>
  <r>
    <x v="15"/>
    <x v="8"/>
    <n v="831006"/>
  </r>
  <r>
    <x v="15"/>
    <x v="9"/>
    <n v="860769"/>
  </r>
  <r>
    <x v="15"/>
    <x v="10"/>
    <n v="896757"/>
  </r>
  <r>
    <x v="15"/>
    <x v="11"/>
    <n v="925620"/>
  </r>
  <r>
    <x v="16"/>
    <x v="0"/>
    <n v="546827"/>
  </r>
  <r>
    <x v="16"/>
    <x v="1"/>
    <n v="561821"/>
  </r>
  <r>
    <x v="16"/>
    <x v="2"/>
    <n v="523900"/>
  </r>
  <r>
    <x v="16"/>
    <x v="3"/>
    <n v="507437"/>
  </r>
  <r>
    <x v="16"/>
    <x v="4"/>
    <n v="479274"/>
  </r>
  <r>
    <x v="16"/>
    <x v="5"/>
    <n v="459994"/>
  </r>
  <r>
    <x v="16"/>
    <x v="6"/>
    <n v="456282"/>
  </r>
  <r>
    <x v="16"/>
    <x v="7"/>
    <n v="464827"/>
  </r>
  <r>
    <x v="16"/>
    <x v="8"/>
    <n v="488620"/>
  </r>
  <r>
    <x v="16"/>
    <x v="9"/>
    <n v="510525"/>
  </r>
  <r>
    <x v="16"/>
    <x v="10"/>
    <n v="536893"/>
  </r>
  <r>
    <x v="16"/>
    <x v="11"/>
    <n v="557166"/>
  </r>
  <r>
    <x v="17"/>
    <x v="0"/>
    <n v="505528"/>
  </r>
  <r>
    <x v="17"/>
    <x v="1"/>
    <n v="517704"/>
  </r>
  <r>
    <x v="17"/>
    <x v="2"/>
    <n v="487254"/>
  </r>
  <r>
    <x v="17"/>
    <x v="3"/>
    <n v="473645"/>
  </r>
  <r>
    <x v="17"/>
    <x v="4"/>
    <n v="450844"/>
  </r>
  <r>
    <x v="17"/>
    <x v="5"/>
    <n v="435215"/>
  </r>
  <r>
    <x v="17"/>
    <x v="6"/>
    <n v="434048"/>
  </r>
  <r>
    <x v="17"/>
    <x v="7"/>
    <n v="441432"/>
  </r>
  <r>
    <x v="17"/>
    <x v="8"/>
    <n v="461934"/>
  </r>
  <r>
    <x v="17"/>
    <x v="9"/>
    <n v="479764"/>
  </r>
  <r>
    <x v="17"/>
    <x v="10"/>
    <n v="500991"/>
  </r>
  <r>
    <x v="17"/>
    <x v="11"/>
    <n v="517316"/>
  </r>
  <r>
    <x v="18"/>
    <x v="0"/>
    <n v="530472"/>
  </r>
  <r>
    <x v="18"/>
    <x v="1"/>
    <n v="545488"/>
  </r>
  <r>
    <x v="18"/>
    <x v="2"/>
    <n v="506104"/>
  </r>
  <r>
    <x v="18"/>
    <x v="3"/>
    <n v="488263"/>
  </r>
  <r>
    <x v="18"/>
    <x v="4"/>
    <n v="457822"/>
  </r>
  <r>
    <x v="18"/>
    <x v="5"/>
    <n v="437323"/>
  </r>
  <r>
    <x v="18"/>
    <x v="6"/>
    <n v="432154"/>
  </r>
  <r>
    <x v="18"/>
    <x v="7"/>
    <n v="440686"/>
  </r>
  <r>
    <x v="18"/>
    <x v="8"/>
    <n v="468994"/>
  </r>
  <r>
    <x v="18"/>
    <x v="9"/>
    <n v="492552"/>
  </r>
  <r>
    <x v="18"/>
    <x v="10"/>
    <n v="521147"/>
  </r>
  <r>
    <x v="18"/>
    <x v="11"/>
    <n v="542368"/>
  </r>
  <r>
    <x v="19"/>
    <x v="0"/>
    <n v="769058"/>
  </r>
  <r>
    <x v="19"/>
    <x v="1"/>
    <n v="785606"/>
  </r>
  <r>
    <x v="19"/>
    <x v="2"/>
    <n v="743778"/>
  </r>
  <r>
    <x v="19"/>
    <x v="3"/>
    <n v="725044"/>
  </r>
  <r>
    <x v="19"/>
    <x v="4"/>
    <n v="695791"/>
  </r>
  <r>
    <x v="19"/>
    <x v="5"/>
    <n v="674428"/>
  </r>
  <r>
    <x v="19"/>
    <x v="6"/>
    <n v="675632"/>
  </r>
  <r>
    <x v="19"/>
    <x v="7"/>
    <n v="686139"/>
  </r>
  <r>
    <x v="19"/>
    <x v="8"/>
    <n v="711425"/>
  </r>
  <r>
    <x v="19"/>
    <x v="9"/>
    <n v="735026"/>
  </r>
  <r>
    <x v="19"/>
    <x v="10"/>
    <n v="763329"/>
  </r>
  <r>
    <x v="19"/>
    <x v="11"/>
    <n v="785362"/>
  </r>
  <r>
    <x v="20"/>
    <x v="0"/>
    <n v="599902"/>
  </r>
  <r>
    <x v="20"/>
    <x v="1"/>
    <n v="614786"/>
  </r>
  <r>
    <x v="20"/>
    <x v="2"/>
    <n v="575860"/>
  </r>
  <r>
    <x v="20"/>
    <x v="3"/>
    <n v="558481"/>
  </r>
  <r>
    <x v="20"/>
    <x v="4"/>
    <n v="530639"/>
  </r>
  <r>
    <x v="20"/>
    <x v="5"/>
    <n v="510651"/>
  </r>
  <r>
    <x v="20"/>
    <x v="6"/>
    <n v="508383"/>
  </r>
  <r>
    <x v="20"/>
    <x v="7"/>
    <n v="517234"/>
  </r>
  <r>
    <x v="20"/>
    <x v="8"/>
    <n v="541328"/>
  </r>
  <r>
    <x v="20"/>
    <x v="9"/>
    <n v="563530"/>
  </r>
  <r>
    <x v="20"/>
    <x v="10"/>
    <n v="590602"/>
  </r>
  <r>
    <x v="20"/>
    <x v="11"/>
    <n v="611173"/>
  </r>
  <r>
    <x v="21"/>
    <x v="0"/>
    <n v="758732"/>
  </r>
  <r>
    <x v="21"/>
    <x v="1"/>
    <n v="777508"/>
  </r>
  <r>
    <x v="21"/>
    <x v="2"/>
    <n v="730504"/>
  </r>
  <r>
    <x v="21"/>
    <x v="3"/>
    <n v="708888"/>
  </r>
  <r>
    <x v="21"/>
    <x v="4"/>
    <n v="671453"/>
  </r>
  <r>
    <x v="21"/>
    <x v="5"/>
    <n v="646918"/>
  </r>
  <r>
    <x v="21"/>
    <x v="6"/>
    <n v="643818"/>
  </r>
  <r>
    <x v="21"/>
    <x v="7"/>
    <n v="655190"/>
  </r>
  <r>
    <x v="21"/>
    <x v="8"/>
    <n v="691710"/>
  </r>
  <r>
    <x v="21"/>
    <x v="9"/>
    <n v="720452"/>
  </r>
  <r>
    <x v="21"/>
    <x v="10"/>
    <n v="754455"/>
  </r>
  <r>
    <x v="21"/>
    <x v="11"/>
    <n v="780061"/>
  </r>
  <r>
    <x v="22"/>
    <x v="0"/>
    <n v="481434"/>
  </r>
  <r>
    <x v="22"/>
    <x v="1"/>
    <n v="493446"/>
  </r>
  <r>
    <x v="22"/>
    <x v="2"/>
    <n v="462584"/>
  </r>
  <r>
    <x v="22"/>
    <x v="3"/>
    <n v="448573"/>
  </r>
  <r>
    <x v="22"/>
    <x v="4"/>
    <n v="425224"/>
  </r>
  <r>
    <x v="22"/>
    <x v="5"/>
    <n v="409226"/>
  </r>
  <r>
    <x v="22"/>
    <x v="6"/>
    <n v="407157"/>
  </r>
  <r>
    <x v="22"/>
    <x v="7"/>
    <n v="414347"/>
  </r>
  <r>
    <x v="22"/>
    <x v="8"/>
    <n v="435974"/>
  </r>
  <r>
    <x v="22"/>
    <x v="9"/>
    <n v="454230"/>
  </r>
  <r>
    <x v="22"/>
    <x v="10"/>
    <n v="476186"/>
  </r>
  <r>
    <x v="22"/>
    <x v="11"/>
    <n v="492746"/>
  </r>
  <r>
    <x v="23"/>
    <x v="0"/>
    <n v="797494"/>
  </r>
  <r>
    <x v="23"/>
    <x v="1"/>
    <n v="814130"/>
  </r>
  <r>
    <x v="23"/>
    <x v="2"/>
    <n v="772152"/>
  </r>
  <r>
    <x v="23"/>
    <x v="3"/>
    <n v="752760"/>
  </r>
  <r>
    <x v="23"/>
    <x v="4"/>
    <n v="722082"/>
  </r>
  <r>
    <x v="23"/>
    <x v="5"/>
    <n v="700315"/>
  </r>
  <r>
    <x v="23"/>
    <x v="6"/>
    <n v="701849"/>
  </r>
  <r>
    <x v="23"/>
    <x v="7"/>
    <n v="712663"/>
  </r>
  <r>
    <x v="23"/>
    <x v="8"/>
    <n v="741575"/>
  </r>
  <r>
    <x v="23"/>
    <x v="9"/>
    <n v="766074"/>
  </r>
  <r>
    <x v="23"/>
    <x v="10"/>
    <n v="795220"/>
  </r>
  <r>
    <x v="23"/>
    <x v="11"/>
    <n v="817574"/>
  </r>
  <r>
    <x v="24"/>
    <x v="0"/>
    <n v="828360"/>
  </r>
  <r>
    <x v="24"/>
    <x v="1"/>
    <n v="844848"/>
  </r>
  <r>
    <x v="24"/>
    <x v="2"/>
    <n v="804008"/>
  </r>
  <r>
    <x v="24"/>
    <x v="3"/>
    <n v="784633"/>
  </r>
  <r>
    <x v="24"/>
    <x v="4"/>
    <n v="753386"/>
  </r>
  <r>
    <x v="24"/>
    <x v="5"/>
    <n v="731954"/>
  </r>
  <r>
    <x v="24"/>
    <x v="6"/>
    <n v="734452"/>
  </r>
  <r>
    <x v="24"/>
    <x v="7"/>
    <n v="745512"/>
  </r>
  <r>
    <x v="24"/>
    <x v="8"/>
    <n v="777145"/>
  </r>
  <r>
    <x v="24"/>
    <x v="9"/>
    <n v="801800"/>
  </r>
  <r>
    <x v="24"/>
    <x v="10"/>
    <n v="830686"/>
  </r>
  <r>
    <x v="24"/>
    <x v="11"/>
    <n v="852717"/>
  </r>
  <r>
    <x v="25"/>
    <x v="0"/>
    <n v="477248"/>
  </r>
  <r>
    <x v="25"/>
    <x v="1"/>
    <n v="491000"/>
  </r>
  <r>
    <x v="25"/>
    <x v="2"/>
    <n v="456090"/>
  </r>
  <r>
    <x v="25"/>
    <x v="3"/>
    <n v="441186"/>
  </r>
  <r>
    <x v="25"/>
    <x v="4"/>
    <n v="415626"/>
  </r>
  <r>
    <x v="25"/>
    <x v="5"/>
    <n v="397996"/>
  </r>
  <r>
    <x v="25"/>
    <x v="6"/>
    <n v="393954"/>
  </r>
  <r>
    <x v="25"/>
    <x v="7"/>
    <n v="401598"/>
  </r>
  <r>
    <x v="25"/>
    <x v="8"/>
    <n v="422260"/>
  </r>
  <r>
    <x v="25"/>
    <x v="9"/>
    <n v="442164"/>
  </r>
  <r>
    <x v="25"/>
    <x v="10"/>
    <n v="466252"/>
  </r>
  <r>
    <x v="25"/>
    <x v="11"/>
    <n v="484844"/>
  </r>
  <r>
    <x v="26"/>
    <x v="0"/>
    <n v="680602"/>
  </r>
  <r>
    <x v="26"/>
    <x v="1"/>
    <n v="695990"/>
  </r>
  <r>
    <x v="26"/>
    <x v="2"/>
    <n v="657712"/>
  </r>
  <r>
    <x v="26"/>
    <x v="3"/>
    <n v="640752"/>
  </r>
  <r>
    <x v="26"/>
    <x v="4"/>
    <n v="613226"/>
  </r>
  <r>
    <x v="26"/>
    <x v="5"/>
    <n v="593734"/>
  </r>
  <r>
    <x v="26"/>
    <x v="6"/>
    <n v="593888"/>
  </r>
  <r>
    <x v="26"/>
    <x v="7"/>
    <n v="603446"/>
  </r>
  <r>
    <x v="26"/>
    <x v="8"/>
    <n v="627219"/>
  </r>
  <r>
    <x v="26"/>
    <x v="9"/>
    <n v="649078"/>
  </r>
  <r>
    <x v="26"/>
    <x v="10"/>
    <n v="675104"/>
  </r>
  <r>
    <x v="26"/>
    <x v="11"/>
    <n v="695427"/>
  </r>
  <r>
    <x v="27"/>
    <x v="0"/>
    <n v="581533"/>
  </r>
  <r>
    <x v="27"/>
    <x v="1"/>
    <n v="597995"/>
  </r>
  <r>
    <x v="27"/>
    <x v="2"/>
    <n v="556492"/>
  </r>
  <r>
    <x v="27"/>
    <x v="3"/>
    <n v="538060"/>
  </r>
  <r>
    <x v="27"/>
    <x v="4"/>
    <n v="505461"/>
  </r>
  <r>
    <x v="27"/>
    <x v="5"/>
    <n v="484074"/>
  </r>
  <r>
    <x v="27"/>
    <x v="6"/>
    <n v="478971"/>
  </r>
  <r>
    <x v="27"/>
    <x v="7"/>
    <n v="488322"/>
  </r>
  <r>
    <x v="27"/>
    <x v="8"/>
    <n v="518055"/>
  </r>
  <r>
    <x v="27"/>
    <x v="9"/>
    <n v="542971"/>
  </r>
  <r>
    <x v="27"/>
    <x v="10"/>
    <n v="572740"/>
  </r>
  <r>
    <x v="27"/>
    <x v="11"/>
    <n v="595256"/>
  </r>
  <r>
    <x v="28"/>
    <x v="0"/>
    <n v="1673171"/>
  </r>
  <r>
    <x v="28"/>
    <x v="1"/>
    <n v="1696054"/>
  </r>
  <r>
    <x v="28"/>
    <x v="2"/>
    <n v="1646668"/>
  </r>
  <r>
    <x v="28"/>
    <x v="3"/>
    <n v="1622622"/>
  </r>
  <r>
    <x v="28"/>
    <x v="4"/>
    <n v="1587679"/>
  </r>
  <r>
    <x v="28"/>
    <x v="5"/>
    <n v="1562203"/>
  </r>
  <r>
    <x v="28"/>
    <x v="6"/>
    <n v="1584657"/>
  </r>
  <r>
    <x v="28"/>
    <x v="7"/>
    <n v="1603439"/>
  </r>
  <r>
    <x v="28"/>
    <x v="8"/>
    <n v="1640298"/>
  </r>
  <r>
    <x v="28"/>
    <x v="9"/>
    <n v="1669172"/>
  </r>
  <r>
    <x v="28"/>
    <x v="10"/>
    <n v="1700314"/>
  </r>
  <r>
    <x v="28"/>
    <x v="11"/>
    <n v="1726707"/>
  </r>
  <r>
    <x v="29"/>
    <x v="0"/>
    <n v="1499033"/>
  </r>
  <r>
    <x v="29"/>
    <x v="1"/>
    <n v="1520475"/>
  </r>
  <r>
    <x v="29"/>
    <x v="2"/>
    <n v="1474752"/>
  </r>
  <r>
    <x v="29"/>
    <x v="3"/>
    <n v="1454282"/>
  </r>
  <r>
    <x v="29"/>
    <x v="4"/>
    <n v="1425396"/>
  </r>
  <r>
    <x v="29"/>
    <x v="5"/>
    <n v="1402821"/>
  </r>
  <r>
    <x v="29"/>
    <x v="6"/>
    <n v="1423182"/>
  </r>
  <r>
    <x v="29"/>
    <x v="7"/>
    <n v="1440074"/>
  </r>
  <r>
    <x v="29"/>
    <x v="8"/>
    <n v="1464343"/>
  </r>
  <r>
    <x v="29"/>
    <x v="9"/>
    <n v="1488851"/>
  </r>
  <r>
    <x v="29"/>
    <x v="10"/>
    <n v="1515405"/>
  </r>
  <r>
    <x v="29"/>
    <x v="11"/>
    <n v="1539233"/>
  </r>
  <r>
    <x v="30"/>
    <x v="0"/>
    <n v="1177890"/>
  </r>
  <r>
    <x v="30"/>
    <x v="1"/>
    <n v="1197486"/>
  </r>
  <r>
    <x v="30"/>
    <x v="2"/>
    <n v="1153798"/>
  </r>
  <r>
    <x v="30"/>
    <x v="3"/>
    <n v="1133536"/>
  </r>
  <r>
    <x v="30"/>
    <x v="4"/>
    <n v="1101299"/>
  </r>
  <r>
    <x v="30"/>
    <x v="5"/>
    <n v="1078964"/>
  </r>
  <r>
    <x v="30"/>
    <x v="6"/>
    <n v="1089916"/>
  </r>
  <r>
    <x v="30"/>
    <x v="7"/>
    <n v="1104279"/>
  </r>
  <r>
    <x v="30"/>
    <x v="8"/>
    <n v="1135737"/>
  </r>
  <r>
    <x v="30"/>
    <x v="9"/>
    <n v="1161442"/>
  </r>
  <r>
    <x v="30"/>
    <x v="10"/>
    <n v="1189993"/>
  </r>
  <r>
    <x v="30"/>
    <x v="11"/>
    <n v="1213522"/>
  </r>
  <r>
    <x v="31"/>
    <x v="0"/>
    <n v="1343136"/>
  </r>
  <r>
    <x v="31"/>
    <x v="1"/>
    <n v="1362959"/>
  </r>
  <r>
    <x v="31"/>
    <x v="2"/>
    <n v="1319518"/>
  </r>
  <r>
    <x v="31"/>
    <x v="3"/>
    <n v="1298805"/>
  </r>
  <r>
    <x v="31"/>
    <x v="4"/>
    <n v="1267629"/>
  </r>
  <r>
    <x v="31"/>
    <x v="5"/>
    <n v="1245313"/>
  </r>
  <r>
    <x v="31"/>
    <x v="6"/>
    <n v="1261318"/>
  </r>
  <r>
    <x v="31"/>
    <x v="7"/>
    <n v="1276864"/>
  </r>
  <r>
    <x v="31"/>
    <x v="8"/>
    <n v="1308588"/>
  </r>
  <r>
    <x v="31"/>
    <x v="9"/>
    <n v="1333997"/>
  </r>
  <r>
    <x v="31"/>
    <x v="10"/>
    <n v="1361779"/>
  </r>
  <r>
    <x v="31"/>
    <x v="11"/>
    <n v="1385046"/>
  </r>
  <r>
    <x v="32"/>
    <x v="0"/>
    <n v="1070644"/>
  </r>
  <r>
    <x v="32"/>
    <x v="1"/>
    <n v="1084969"/>
  </r>
  <r>
    <x v="32"/>
    <x v="2"/>
    <n v="1054807"/>
  </r>
  <r>
    <x v="32"/>
    <x v="3"/>
    <n v="1040694"/>
  </r>
  <r>
    <x v="32"/>
    <x v="4"/>
    <n v="1020968"/>
  </r>
  <r>
    <x v="32"/>
    <x v="5"/>
    <n v="1005813"/>
  </r>
  <r>
    <x v="32"/>
    <x v="6"/>
    <n v="1021339"/>
  </r>
  <r>
    <x v="32"/>
    <x v="7"/>
    <n v="1033155"/>
  </r>
  <r>
    <x v="32"/>
    <x v="8"/>
    <n v="1051878"/>
  </r>
  <r>
    <x v="32"/>
    <x v="9"/>
    <n v="1068585"/>
  </r>
  <r>
    <x v="32"/>
    <x v="10"/>
    <n v="1086399"/>
  </r>
  <r>
    <x v="32"/>
    <x v="11"/>
    <n v="1102256"/>
  </r>
  <r>
    <x v="33"/>
    <x v="0"/>
    <n v="1815407"/>
  </r>
  <r>
    <x v="33"/>
    <x v="1"/>
    <n v="1838789"/>
  </r>
  <r>
    <x v="33"/>
    <x v="2"/>
    <n v="1788638"/>
  </r>
  <r>
    <x v="33"/>
    <x v="3"/>
    <n v="1764648"/>
  </r>
  <r>
    <x v="33"/>
    <x v="4"/>
    <n v="1732474"/>
  </r>
  <r>
    <x v="33"/>
    <x v="5"/>
    <n v="1707039"/>
  </r>
  <r>
    <x v="33"/>
    <x v="6"/>
    <n v="1734152"/>
  </r>
  <r>
    <x v="33"/>
    <x v="7"/>
    <n v="1753896"/>
  </r>
  <r>
    <x v="33"/>
    <x v="8"/>
    <n v="1785477"/>
  </r>
  <r>
    <x v="33"/>
    <x v="9"/>
    <n v="1813185"/>
  </r>
  <r>
    <x v="33"/>
    <x v="10"/>
    <n v="1842975"/>
  </r>
  <r>
    <x v="33"/>
    <x v="11"/>
    <n v="1869187"/>
  </r>
  <r>
    <x v="34"/>
    <x v="0"/>
    <n v="1368805"/>
  </r>
  <r>
    <x v="34"/>
    <x v="1"/>
    <n v="1389451"/>
  </r>
  <r>
    <x v="34"/>
    <x v="2"/>
    <n v="1344661"/>
  </r>
  <r>
    <x v="34"/>
    <x v="3"/>
    <n v="1323895"/>
  </r>
  <r>
    <x v="34"/>
    <x v="4"/>
    <n v="1292494"/>
  </r>
  <r>
    <x v="34"/>
    <x v="5"/>
    <n v="1269809"/>
  </r>
  <r>
    <x v="34"/>
    <x v="6"/>
    <n v="1286033"/>
  </r>
  <r>
    <x v="34"/>
    <x v="7"/>
    <n v="1301958"/>
  </r>
  <r>
    <x v="34"/>
    <x v="8"/>
    <n v="1332024"/>
  </r>
  <r>
    <x v="34"/>
    <x v="9"/>
    <n v="1357665"/>
  </r>
  <r>
    <x v="34"/>
    <x v="10"/>
    <n v="1385650"/>
  </r>
  <r>
    <x v="34"/>
    <x v="11"/>
    <n v="1409524"/>
  </r>
  <r>
    <x v="35"/>
    <x v="0"/>
    <n v="1675738"/>
  </r>
  <r>
    <x v="35"/>
    <x v="1"/>
    <n v="1696172"/>
  </r>
  <r>
    <x v="35"/>
    <x v="2"/>
    <n v="1653542"/>
  </r>
  <r>
    <x v="35"/>
    <x v="3"/>
    <n v="1633345"/>
  </r>
  <r>
    <x v="35"/>
    <x v="4"/>
    <n v="1607586"/>
  </r>
  <r>
    <x v="35"/>
    <x v="5"/>
    <n v="1586251"/>
  </r>
  <r>
    <x v="35"/>
    <x v="6"/>
    <n v="1613455"/>
  </r>
  <r>
    <x v="35"/>
    <x v="7"/>
    <n v="1631239"/>
  </r>
  <r>
    <x v="35"/>
    <x v="8"/>
    <n v="1655453"/>
  </r>
  <r>
    <x v="35"/>
    <x v="9"/>
    <n v="1678244"/>
  </r>
  <r>
    <x v="35"/>
    <x v="10"/>
    <n v="1702270"/>
  </r>
  <r>
    <x v="35"/>
    <x v="11"/>
    <n v="1724312"/>
  </r>
  <r>
    <x v="36"/>
    <x v="0"/>
    <n v="1493878"/>
  </r>
  <r>
    <x v="36"/>
    <x v="1"/>
    <n v="1513901"/>
  </r>
  <r>
    <x v="36"/>
    <x v="2"/>
    <n v="1471501"/>
  </r>
  <r>
    <x v="36"/>
    <x v="3"/>
    <n v="1451060"/>
  </r>
  <r>
    <x v="36"/>
    <x v="4"/>
    <n v="1421657"/>
  </r>
  <r>
    <x v="36"/>
    <x v="5"/>
    <n v="1399971"/>
  </r>
  <r>
    <x v="36"/>
    <x v="6"/>
    <n v="1420991"/>
  </r>
  <r>
    <x v="36"/>
    <x v="7"/>
    <n v="1437590"/>
  </r>
  <r>
    <x v="36"/>
    <x v="8"/>
    <n v="1467935"/>
  </r>
  <r>
    <x v="36"/>
    <x v="9"/>
    <n v="1492389"/>
  </r>
  <r>
    <x v="36"/>
    <x v="10"/>
    <n v="1518470"/>
  </r>
  <r>
    <x v="36"/>
    <x v="11"/>
    <n v="1541055"/>
  </r>
  <r>
    <x v="37"/>
    <x v="0"/>
    <n v="1496987"/>
  </r>
  <r>
    <x v="37"/>
    <x v="1"/>
    <n v="1518062"/>
  </r>
  <r>
    <x v="37"/>
    <x v="2"/>
    <n v="1471975"/>
  </r>
  <r>
    <x v="37"/>
    <x v="3"/>
    <n v="1449628"/>
  </r>
  <r>
    <x v="37"/>
    <x v="4"/>
    <n v="1416836"/>
  </r>
  <r>
    <x v="37"/>
    <x v="5"/>
    <n v="1393040"/>
  </r>
  <r>
    <x v="37"/>
    <x v="6"/>
    <n v="1412157"/>
  </r>
  <r>
    <x v="37"/>
    <x v="7"/>
    <n v="1429161"/>
  </r>
  <r>
    <x v="37"/>
    <x v="8"/>
    <n v="1463471"/>
  </r>
  <r>
    <x v="37"/>
    <x v="9"/>
    <n v="1490454"/>
  </r>
  <r>
    <x v="37"/>
    <x v="10"/>
    <n v="1519826"/>
  </r>
  <r>
    <x v="37"/>
    <x v="11"/>
    <n v="1544463"/>
  </r>
  <r>
    <x v="38"/>
    <x v="0"/>
    <n v="1332395"/>
  </r>
  <r>
    <x v="38"/>
    <x v="1"/>
    <n v="1352920"/>
  </r>
  <r>
    <x v="38"/>
    <x v="2"/>
    <n v="1307171"/>
  </r>
  <r>
    <x v="38"/>
    <x v="3"/>
    <n v="1285376"/>
  </r>
  <r>
    <x v="38"/>
    <x v="4"/>
    <n v="1251992"/>
  </r>
  <r>
    <x v="38"/>
    <x v="5"/>
    <n v="1228401"/>
  </r>
  <r>
    <x v="38"/>
    <x v="6"/>
    <n v="1242815"/>
  </r>
  <r>
    <x v="38"/>
    <x v="7"/>
    <n v="1258541"/>
  </r>
  <r>
    <x v="38"/>
    <x v="8"/>
    <n v="1292571"/>
  </r>
  <r>
    <x v="38"/>
    <x v="9"/>
    <n v="1319556"/>
  </r>
  <r>
    <x v="38"/>
    <x v="10"/>
    <n v="1349381"/>
  </r>
  <r>
    <x v="38"/>
    <x v="11"/>
    <n v="1373953"/>
  </r>
  <r>
    <x v="39"/>
    <x v="0"/>
    <n v="1318980"/>
  </r>
  <r>
    <x v="39"/>
    <x v="1"/>
    <n v="1337217"/>
  </r>
  <r>
    <x v="39"/>
    <x v="2"/>
    <n v="1299404"/>
  </r>
  <r>
    <x v="39"/>
    <x v="3"/>
    <n v="1282306"/>
  </r>
  <r>
    <x v="39"/>
    <x v="4"/>
    <n v="1257943"/>
  </r>
  <r>
    <x v="39"/>
    <x v="5"/>
    <n v="1239254"/>
  </r>
  <r>
    <x v="39"/>
    <x v="6"/>
    <n v="1258105"/>
  </r>
  <r>
    <x v="39"/>
    <x v="7"/>
    <n v="1272802"/>
  </r>
  <r>
    <x v="39"/>
    <x v="8"/>
    <n v="1294175"/>
  </r>
  <r>
    <x v="39"/>
    <x v="9"/>
    <n v="1314727"/>
  </r>
  <r>
    <x v="39"/>
    <x v="10"/>
    <n v="1336522"/>
  </r>
  <r>
    <x v="39"/>
    <x v="11"/>
    <n v="13563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132 kV"/>
    <s v="Urban Residential"/>
    <s v="Khalabat Township"/>
    <x v="0"/>
    <x v="0"/>
    <n v="21"/>
    <n v="0.55000000000000004"/>
    <n v="4597.1000000000004"/>
  </r>
  <r>
    <x v="0"/>
    <x v="0"/>
    <s v="132 kV"/>
    <s v="Urban Residential"/>
    <s v="Bherkund"/>
    <x v="1"/>
    <x v="1"/>
    <n v="20"/>
    <n v="0.54"/>
    <n v="7780.7"/>
  </r>
  <r>
    <x v="0"/>
    <x v="0"/>
    <s v="132 kV"/>
    <s v="Urban Residential"/>
    <s v="Khalabat Township"/>
    <x v="2"/>
    <x v="2"/>
    <n v="20"/>
    <n v="0.55000000000000004"/>
    <n v="8581.4"/>
  </r>
  <r>
    <x v="0"/>
    <x v="0"/>
    <s v="132 kV"/>
    <s v="Urban Residential"/>
    <s v="Dingi"/>
    <x v="3"/>
    <x v="3"/>
    <n v="20"/>
    <n v="0.57999999999999996"/>
    <n v="8449.9"/>
  </r>
  <r>
    <x v="0"/>
    <x v="0"/>
    <s v="132 kV"/>
    <s v="Urban Residential"/>
    <s v="Pind Ghazi"/>
    <x v="4"/>
    <x v="4"/>
    <n v="21"/>
    <n v="0.52"/>
    <n v="8552.7000000000007"/>
  </r>
  <r>
    <x v="0"/>
    <x v="0"/>
    <s v="132 kV"/>
    <s v="Urban Residential"/>
    <s v="Khalabat Township"/>
    <x v="5"/>
    <x v="5"/>
    <n v="22"/>
    <n v="0.5"/>
    <n v="7372.1"/>
  </r>
  <r>
    <x v="0"/>
    <x v="0"/>
    <s v="132 kV"/>
    <s v="Urban Residential"/>
    <s v="Dingi"/>
    <x v="6"/>
    <x v="6"/>
    <n v="19"/>
    <n v="0.53"/>
    <n v="7504.5"/>
  </r>
  <r>
    <x v="0"/>
    <x v="0"/>
    <s v="132 kV"/>
    <s v="Urban Residential"/>
    <s v="Dingi"/>
    <x v="7"/>
    <x v="7"/>
    <n v="22"/>
    <n v="0.59"/>
    <n v="5943"/>
  </r>
  <r>
    <x v="0"/>
    <x v="0"/>
    <s v="132 kV"/>
    <s v="Urban Residential"/>
    <s v="Shah Maqsood"/>
    <x v="8"/>
    <x v="8"/>
    <n v="22"/>
    <n v="0.45"/>
    <n v="4333.8999999999996"/>
  </r>
  <r>
    <x v="0"/>
    <x v="0"/>
    <s v="132 kV"/>
    <s v="Urban Residential"/>
    <s v="Shah Maqsood"/>
    <x v="9"/>
    <x v="9"/>
    <n v="20"/>
    <n v="0.52"/>
    <n v="5796.5"/>
  </r>
  <r>
    <x v="0"/>
    <x v="0"/>
    <s v="132 kV"/>
    <s v="Urban Residential"/>
    <s v="Shah Maqsood"/>
    <x v="10"/>
    <x v="10"/>
    <n v="20"/>
    <n v="0.48"/>
    <n v="8926.2000000000007"/>
  </r>
  <r>
    <x v="0"/>
    <x v="0"/>
    <s v="132 kV"/>
    <s v="Urban Residential"/>
    <s v="Dingi"/>
    <x v="11"/>
    <x v="11"/>
    <n v="20"/>
    <n v="0.52"/>
    <n v="9397.5"/>
  </r>
  <r>
    <x v="0"/>
    <x v="0"/>
    <s v="132 kV"/>
    <s v="Urban Residential"/>
    <s v="Shah Maqsood"/>
    <x v="12"/>
    <x v="12"/>
    <n v="19"/>
    <n v="0.48"/>
    <n v="8223.4"/>
  </r>
  <r>
    <x v="0"/>
    <x v="0"/>
    <s v="132 kV"/>
    <s v="Urban Residential"/>
    <s v="Sikandarpur"/>
    <x v="13"/>
    <x v="13"/>
    <n v="20"/>
    <n v="0.54"/>
    <n v="6701.4"/>
  </r>
  <r>
    <x v="0"/>
    <x v="0"/>
    <s v="132 kV"/>
    <s v="Urban Residential"/>
    <s v="Sarai Saleh"/>
    <x v="14"/>
    <x v="14"/>
    <n v="20"/>
    <n v="0.53"/>
    <n v="7144.9"/>
  </r>
  <r>
    <x v="0"/>
    <x v="0"/>
    <s v="132 kV"/>
    <s v="Urban Residential"/>
    <s v="Hattar"/>
    <x v="15"/>
    <x v="15"/>
    <n v="21"/>
    <n v="0.54"/>
    <n v="6054.5"/>
  </r>
  <r>
    <x v="1"/>
    <x v="1"/>
    <s v="66 kV"/>
    <s v="Semi-Urban"/>
    <s v="Sobra City"/>
    <x v="16"/>
    <x v="0"/>
    <n v="20"/>
    <n v="0.59"/>
    <n v="3929.1"/>
  </r>
  <r>
    <x v="1"/>
    <x v="1"/>
    <s v="66 kV"/>
    <s v="Semi-Urban"/>
    <s v="Sikandarpur"/>
    <x v="17"/>
    <x v="1"/>
    <n v="18"/>
    <n v="0.56000000000000005"/>
    <n v="3896"/>
  </r>
  <r>
    <x v="1"/>
    <x v="1"/>
    <s v="66 kV"/>
    <s v="Semi-Urban"/>
    <s v="Sobra City"/>
    <x v="18"/>
    <x v="2"/>
    <n v="17"/>
    <n v="0.49"/>
    <n v="3751.5"/>
  </r>
  <r>
    <x v="1"/>
    <x v="1"/>
    <s v="66 kV"/>
    <s v="Semi-Urban"/>
    <s v="Kot Najibullah"/>
    <x v="19"/>
    <x v="3"/>
    <n v="17"/>
    <n v="0.48"/>
    <n v="6172.1"/>
  </r>
  <r>
    <x v="1"/>
    <x v="1"/>
    <s v="66 kV"/>
    <s v="Semi-Urban"/>
    <s v="Sarai Saleh"/>
    <x v="20"/>
    <x v="4"/>
    <n v="20"/>
    <n v="0.52"/>
    <n v="4508.2"/>
  </r>
  <r>
    <x v="1"/>
    <x v="1"/>
    <s v="66 kV"/>
    <s v="Semi-Urban"/>
    <s v="Kot Najibullah"/>
    <x v="21"/>
    <x v="5"/>
    <n v="19"/>
    <n v="0.52"/>
    <n v="5822.2"/>
  </r>
  <r>
    <x v="1"/>
    <x v="1"/>
    <s v="66 kV"/>
    <s v="Semi-Urban"/>
    <s v="Pind Ghazi"/>
    <x v="22"/>
    <x v="6"/>
    <n v="18"/>
    <n v="0.53"/>
    <n v="3643.4"/>
  </r>
  <r>
    <x v="1"/>
    <x v="1"/>
    <s v="66 kV"/>
    <s v="Semi-Urban"/>
    <s v="Ghazi"/>
    <x v="23"/>
    <x v="7"/>
    <n v="19"/>
    <n v="0.46"/>
    <n v="6512.1"/>
  </r>
  <r>
    <x v="1"/>
    <x v="1"/>
    <s v="66 kV"/>
    <s v="Semi-Urban"/>
    <s v="Sobra City"/>
    <x v="24"/>
    <x v="8"/>
    <n v="18"/>
    <n v="0.53"/>
    <n v="6925.7"/>
  </r>
  <r>
    <x v="1"/>
    <x v="1"/>
    <s v="66 kV"/>
    <s v="Semi-Urban"/>
    <s v="Ghazi"/>
    <x v="25"/>
    <x v="9"/>
    <n v="17"/>
    <n v="0.6"/>
    <n v="3318.5"/>
  </r>
  <r>
    <x v="1"/>
    <x v="1"/>
    <s v="66 kV"/>
    <s v="Semi-Urban"/>
    <s v="Kot Najibullah"/>
    <x v="26"/>
    <x v="10"/>
    <n v="18"/>
    <n v="0.56000000000000005"/>
    <n v="5372.8"/>
  </r>
  <r>
    <x v="1"/>
    <x v="1"/>
    <s v="66 kV"/>
    <s v="Semi-Urban"/>
    <s v="Bherkund"/>
    <x v="27"/>
    <x v="11"/>
    <n v="20"/>
    <n v="0.46"/>
    <n v="4142.5"/>
  </r>
  <r>
    <x v="2"/>
    <x v="2"/>
    <s v="132 kV"/>
    <s v="Industrial Estate"/>
    <s v="Khalabat Township"/>
    <x v="28"/>
    <x v="16"/>
    <n v="21"/>
    <n v="0.6"/>
    <n v="10993.2"/>
  </r>
  <r>
    <x v="2"/>
    <x v="2"/>
    <s v="132 kV"/>
    <s v="Industrial Estate"/>
    <s v="Shah Maqsood"/>
    <x v="29"/>
    <x v="17"/>
    <n v="22"/>
    <n v="0.51"/>
    <n v="9695.6"/>
  </r>
  <r>
    <x v="2"/>
    <x v="2"/>
    <s v="132 kV"/>
    <s v="Industrial Estate"/>
    <s v="Hattar"/>
    <x v="30"/>
    <x v="18"/>
    <n v="23"/>
    <n v="0.56000000000000005"/>
    <n v="7699.8"/>
  </r>
  <r>
    <x v="2"/>
    <x v="2"/>
    <s v="132 kV"/>
    <s v="Industrial Estate"/>
    <s v="Pind Ghazi"/>
    <x v="31"/>
    <x v="19"/>
    <n v="22"/>
    <n v="0.51"/>
    <n v="8807.4"/>
  </r>
  <r>
    <x v="2"/>
    <x v="2"/>
    <s v="132 kV"/>
    <s v="Industrial Estate"/>
    <s v="Kot Najibullah"/>
    <x v="32"/>
    <x v="20"/>
    <n v="20"/>
    <n v="0.51"/>
    <n v="6974.1"/>
  </r>
  <r>
    <x v="2"/>
    <x v="2"/>
    <s v="132 kV"/>
    <s v="Industrial Estate"/>
    <s v="Khalabat Township"/>
    <x v="33"/>
    <x v="21"/>
    <n v="21"/>
    <n v="0.52"/>
    <n v="11869.4"/>
  </r>
  <r>
    <x v="2"/>
    <x v="2"/>
    <s v="132 kV"/>
    <s v="Industrial Estate"/>
    <s v="Sobra City"/>
    <x v="34"/>
    <x v="22"/>
    <n v="22"/>
    <n v="0.48"/>
    <n v="8924.7000000000007"/>
  </r>
  <r>
    <x v="2"/>
    <x v="2"/>
    <s v="132 kV"/>
    <s v="Industrial Estate"/>
    <s v="Sikandarpur"/>
    <x v="35"/>
    <x v="23"/>
    <n v="22"/>
    <n v="0.6"/>
    <n v="10919.8"/>
  </r>
  <r>
    <x v="2"/>
    <x v="2"/>
    <s v="132 kV"/>
    <s v="Industrial Estate"/>
    <s v="Pind Ghazi"/>
    <x v="36"/>
    <x v="24"/>
    <n v="23"/>
    <n v="0.48"/>
    <n v="9786.7000000000007"/>
  </r>
  <r>
    <x v="2"/>
    <x v="2"/>
    <s v="132 kV"/>
    <s v="Industrial Estate"/>
    <s v="Khalabat Township"/>
    <x v="37"/>
    <x v="25"/>
    <n v="22"/>
    <n v="0.53"/>
    <n v="9838.5"/>
  </r>
  <r>
    <x v="2"/>
    <x v="2"/>
    <s v="132 kV"/>
    <s v="Industrial Estate"/>
    <s v="Kot Najibullah"/>
    <x v="38"/>
    <x v="26"/>
    <n v="23"/>
    <n v="0.54"/>
    <n v="8748.5"/>
  </r>
  <r>
    <x v="2"/>
    <x v="2"/>
    <s v="132 kV"/>
    <s v="Industrial Estate"/>
    <s v="Ghazi"/>
    <x v="39"/>
    <x v="27"/>
    <n v="21"/>
    <n v="0.55000000000000004"/>
    <n v="854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31.59"/>
    <x v="0"/>
  </r>
  <r>
    <x v="1"/>
    <x v="1"/>
    <n v="31.59"/>
    <x v="1"/>
  </r>
  <r>
    <x v="2"/>
    <x v="2"/>
    <n v="31.59"/>
    <x v="2"/>
  </r>
  <r>
    <x v="3"/>
    <x v="3"/>
    <n v="31.59"/>
    <x v="3"/>
  </r>
  <r>
    <x v="4"/>
    <x v="4"/>
    <n v="31.59"/>
    <x v="4"/>
  </r>
  <r>
    <x v="5"/>
    <x v="5"/>
    <n v="31.59"/>
    <x v="5"/>
  </r>
  <r>
    <x v="6"/>
    <x v="6"/>
    <n v="31.59"/>
    <x v="6"/>
  </r>
  <r>
    <x v="7"/>
    <x v="7"/>
    <n v="31.59"/>
    <x v="7"/>
  </r>
  <r>
    <x v="8"/>
    <x v="8"/>
    <n v="31.59"/>
    <x v="8"/>
  </r>
  <r>
    <x v="9"/>
    <x v="9"/>
    <n v="31.59"/>
    <x v="9"/>
  </r>
  <r>
    <x v="10"/>
    <x v="10"/>
    <n v="31.59"/>
    <x v="10"/>
  </r>
  <r>
    <x v="11"/>
    <x v="11"/>
    <n v="31.59"/>
    <x v="11"/>
  </r>
  <r>
    <x v="12"/>
    <x v="12"/>
    <n v="31.59"/>
    <x v="12"/>
  </r>
  <r>
    <x v="13"/>
    <x v="13"/>
    <n v="31.59"/>
    <x v="13"/>
  </r>
  <r>
    <x v="14"/>
    <x v="14"/>
    <n v="31.59"/>
    <x v="14"/>
  </r>
  <r>
    <x v="15"/>
    <x v="15"/>
    <n v="31.59"/>
    <x v="15"/>
  </r>
  <r>
    <x v="16"/>
    <x v="16"/>
    <n v="31.59"/>
    <x v="16"/>
  </r>
  <r>
    <x v="17"/>
    <x v="17"/>
    <n v="31.59"/>
    <x v="17"/>
  </r>
  <r>
    <x v="18"/>
    <x v="18"/>
    <n v="31.59"/>
    <x v="18"/>
  </r>
  <r>
    <x v="19"/>
    <x v="19"/>
    <n v="31.59"/>
    <x v="19"/>
  </r>
  <r>
    <x v="20"/>
    <x v="20"/>
    <n v="31.59"/>
    <x v="20"/>
  </r>
  <r>
    <x v="21"/>
    <x v="21"/>
    <n v="31.59"/>
    <x v="21"/>
  </r>
  <r>
    <x v="22"/>
    <x v="22"/>
    <n v="31.59"/>
    <x v="22"/>
  </r>
  <r>
    <x v="23"/>
    <x v="23"/>
    <n v="31.59"/>
    <x v="23"/>
  </r>
  <r>
    <x v="24"/>
    <x v="24"/>
    <n v="31.59"/>
    <x v="24"/>
  </r>
  <r>
    <x v="25"/>
    <x v="25"/>
    <n v="31.59"/>
    <x v="25"/>
  </r>
  <r>
    <x v="26"/>
    <x v="26"/>
    <n v="31.59"/>
    <x v="26"/>
  </r>
  <r>
    <x v="27"/>
    <x v="27"/>
    <n v="31.59"/>
    <x v="27"/>
  </r>
  <r>
    <x v="28"/>
    <x v="28"/>
    <n v="31.59"/>
    <x v="28"/>
  </r>
  <r>
    <x v="29"/>
    <x v="29"/>
    <n v="31.59"/>
    <x v="29"/>
  </r>
  <r>
    <x v="30"/>
    <x v="30"/>
    <n v="31.59"/>
    <x v="30"/>
  </r>
  <r>
    <x v="31"/>
    <x v="31"/>
    <n v="31.59"/>
    <x v="31"/>
  </r>
  <r>
    <x v="32"/>
    <x v="32"/>
    <n v="31.59"/>
    <x v="32"/>
  </r>
  <r>
    <x v="33"/>
    <x v="33"/>
    <n v="31.59"/>
    <x v="33"/>
  </r>
  <r>
    <x v="34"/>
    <x v="34"/>
    <n v="31.59"/>
    <x v="34"/>
  </r>
  <r>
    <x v="35"/>
    <x v="35"/>
    <n v="31.59"/>
    <x v="35"/>
  </r>
  <r>
    <x v="36"/>
    <x v="36"/>
    <n v="31.59"/>
    <x v="36"/>
  </r>
  <r>
    <x v="37"/>
    <x v="37"/>
    <n v="31.59"/>
    <x v="37"/>
  </r>
  <r>
    <x v="38"/>
    <x v="38"/>
    <n v="31.59"/>
    <x v="38"/>
  </r>
  <r>
    <x v="39"/>
    <x v="39"/>
    <n v="31.59"/>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07BF87-7166-4918-848A-DAEEB329B46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Feeder id">
  <location ref="Q37:R51" firstHeaderRow="1" firstDataRow="1" firstDataCol="1"/>
  <pivotFields count="10">
    <pivotField showAll="0">
      <items count="4">
        <item x="0"/>
        <item x="1"/>
        <item x="2"/>
        <item t="default"/>
      </items>
    </pivotField>
    <pivotField axis="axisRow" showAll="0">
      <items count="4">
        <item h="1" x="0"/>
        <item h="1" x="1"/>
        <item x="2"/>
        <item t="default"/>
      </items>
    </pivotField>
    <pivotField showAll="0"/>
    <pivotField showAll="0"/>
    <pivotField showAll="0"/>
    <pivotField axis="axisRow"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dataField="1" showAll="0"/>
    <pivotField showAll="0"/>
    <pivotField showAll="0"/>
  </pivotFields>
  <rowFields count="2">
    <field x="1"/>
    <field x="5"/>
  </rowFields>
  <rowItems count="14">
    <i>
      <x v="2"/>
    </i>
    <i r="1">
      <x v="28"/>
    </i>
    <i r="1">
      <x v="29"/>
    </i>
    <i r="1">
      <x v="30"/>
    </i>
    <i r="1">
      <x v="31"/>
    </i>
    <i r="1">
      <x v="32"/>
    </i>
    <i r="1">
      <x v="33"/>
    </i>
    <i r="1">
      <x v="34"/>
    </i>
    <i r="1">
      <x v="35"/>
    </i>
    <i r="1">
      <x v="36"/>
    </i>
    <i r="1">
      <x v="37"/>
    </i>
    <i r="1">
      <x v="38"/>
    </i>
    <i r="1">
      <x v="39"/>
    </i>
    <i t="grand">
      <x/>
    </i>
  </rowItems>
  <colItems count="1">
    <i/>
  </colItems>
  <dataFields count="1">
    <dataField name="Supply-HoursPerDay" fld="7" subtotal="average" baseField="1" baseItem="0"/>
  </dataFields>
  <formats count="2">
    <format dxfId="28">
      <pivotArea field="1" grandRow="1" outline="0" collapsedLevelsAreSubtotals="1" axis="axisRow" fieldPosition="0">
        <references count="1">
          <reference field="4294967294" count="1" selected="0">
            <x v="0"/>
          </reference>
        </references>
      </pivotArea>
    </format>
    <format dxfId="27">
      <pivotArea collapsedLevelsAreSubtotals="1" fieldPosition="0">
        <references count="2">
          <reference field="4294967294" count="1" selected="0">
            <x v="0"/>
          </reference>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DC92C-925D-4012-93C9-8D90E6AE5A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4:K17" firstHeaderRow="1" firstDataRow="1" firstDataCol="1"/>
  <pivotFields count="3">
    <pivotField showAll="0"/>
    <pivotField axis="axisRow" showAll="0">
      <items count="13">
        <item x="9"/>
        <item x="1"/>
        <item x="5"/>
        <item x="7"/>
        <item x="6"/>
        <item x="0"/>
        <item x="11"/>
        <item x="8"/>
        <item x="10"/>
        <item x="4"/>
        <item x="3"/>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kWh."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113900-AB12-496D-85F2-E1E7F1CCE76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J9" firstHeaderRow="0" firstDataRow="1" firstDataCol="1"/>
  <pivotFields count="4">
    <pivotField axis="axisRow" showAll="0" measureFilter="1" sortType="descending">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autoSortScope>
        <pivotArea dataOnly="0" outline="0" fieldPosition="0">
          <references count="1">
            <reference field="4294967294" count="1" selected="0">
              <x v="1"/>
            </reference>
          </references>
        </pivotArea>
      </autoSortScope>
    </pivotField>
    <pivotField dataField="1" showAll="0">
      <items count="41">
        <item x="25"/>
        <item x="22"/>
        <item x="17"/>
        <item x="18"/>
        <item x="16"/>
        <item x="27"/>
        <item x="20"/>
        <item x="8"/>
        <item x="26"/>
        <item x="0"/>
        <item x="21"/>
        <item x="19"/>
        <item x="23"/>
        <item x="9"/>
        <item x="24"/>
        <item x="7"/>
        <item x="15"/>
        <item x="13"/>
        <item x="14"/>
        <item x="5"/>
        <item x="6"/>
        <item x="1"/>
        <item x="32"/>
        <item x="12"/>
        <item x="3"/>
        <item x="4"/>
        <item x="2"/>
        <item x="30"/>
        <item x="10"/>
        <item x="11"/>
        <item x="39"/>
        <item x="38"/>
        <item x="31"/>
        <item x="34"/>
        <item x="37"/>
        <item x="36"/>
        <item x="29"/>
        <item x="28"/>
        <item x="35"/>
        <item x="33"/>
        <item t="default"/>
      </items>
    </pivotField>
    <pivotField showAll="0"/>
    <pivotField dataField="1" numFmtId="1" showAll="0">
      <items count="41">
        <item x="25"/>
        <item x="22"/>
        <item x="17"/>
        <item x="18"/>
        <item x="16"/>
        <item x="27"/>
        <item x="20"/>
        <item x="8"/>
        <item x="26"/>
        <item x="0"/>
        <item x="21"/>
        <item x="19"/>
        <item x="23"/>
        <item x="9"/>
        <item x="24"/>
        <item x="7"/>
        <item x="15"/>
        <item x="13"/>
        <item x="14"/>
        <item x="5"/>
        <item x="6"/>
        <item x="1"/>
        <item x="32"/>
        <item x="12"/>
        <item x="3"/>
        <item x="4"/>
        <item x="2"/>
        <item x="30"/>
        <item x="10"/>
        <item x="11"/>
        <item x="39"/>
        <item x="38"/>
        <item x="31"/>
        <item x="34"/>
        <item x="37"/>
        <item x="36"/>
        <item x="29"/>
        <item x="28"/>
        <item x="35"/>
        <item x="33"/>
        <item t="default"/>
      </items>
    </pivotField>
  </pivotFields>
  <rowFields count="1">
    <field x="0"/>
  </rowFields>
  <rowItems count="6">
    <i>
      <x v="33"/>
    </i>
    <i>
      <x v="35"/>
    </i>
    <i>
      <x v="28"/>
    </i>
    <i>
      <x v="29"/>
    </i>
    <i>
      <x v="36"/>
    </i>
    <i t="grand">
      <x/>
    </i>
  </rowItems>
  <colFields count="1">
    <field x="-2"/>
  </colFields>
  <colItems count="2">
    <i>
      <x/>
    </i>
    <i i="1">
      <x v="1"/>
    </i>
  </colItems>
  <dataFields count="2">
    <dataField name="Annual_kWh." fld="1" baseField="0" baseItem="0"/>
    <dataField name="Annual_Revenue_PKR." fld="3" baseField="0" baseItem="0" numFmtId="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33"/>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Name" xr10:uid="{9F9A2C14-AC67-40F8-9BA8-45286EEA0730}" sourceName="StationName">
  <pivotTables>
    <pivotTable tabId="1" name="PivotTable6"/>
  </pivotTables>
  <data>
    <tabular pivotCacheId="113627031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Name" xr10:uid="{A1132674-380C-48F1-A782-4C143C04DF51}" cache="Slicer_StationName" caption="Sta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ers" displayName="Feeders" ref="A1:J41" headerRowDxfId="26" dataDxfId="25" totalsRowDxfId="24">
  <autoFilter ref="A1:J41" xr:uid="{00000000-0009-0000-0100-000001000000}"/>
  <tableColumns count="10">
    <tableColumn id="1" xr3:uid="{00000000-0010-0000-0000-000001000000}" name="StationID" dataDxfId="23"/>
    <tableColumn id="2" xr3:uid="{00000000-0010-0000-0000-000002000000}" name="StationName" dataDxfId="22"/>
    <tableColumn id="3" xr3:uid="{00000000-0010-0000-0000-000003000000}" name="Voltage" dataDxfId="21"/>
    <tableColumn id="4" xr3:uid="{00000000-0010-0000-0000-000004000000}" name="AreaTag" dataDxfId="20"/>
    <tableColumn id="5" xr3:uid="{00000000-0010-0000-0000-000005000000}" name="UCName" dataDxfId="19"/>
    <tableColumn id="6" xr3:uid="{00000000-0010-0000-0000-000006000000}" name="FeederID" dataDxfId="18"/>
    <tableColumn id="7" xr3:uid="{00000000-0010-0000-0000-000007000000}" name="FeederName" dataDxfId="17"/>
    <tableColumn id="8" xr3:uid="{00000000-0010-0000-0000-000008000000}" name="AvgSupplyHoursPerDay" dataDxfId="16"/>
    <tableColumn id="9" xr3:uid="{00000000-0010-0000-0000-000009000000}" name="ProtectedResidentialShare" dataDxfId="15"/>
    <tableColumn id="10" xr3:uid="{00000000-0010-0000-0000-00000A000000}" name="ConnectedLoad_kW" dataDxf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sumerCounts" displayName="ConsumerCounts" ref="A1:F42" totalsRowCount="1">
  <autoFilter ref="A1:F41" xr:uid="{00000000-0009-0000-0100-000002000000}"/>
  <tableColumns count="6">
    <tableColumn id="1" xr3:uid="{00000000-0010-0000-0100-000001000000}" name="FeederID"/>
    <tableColumn id="2" xr3:uid="{00000000-0010-0000-0100-000002000000}" name="ResConsumers" totalsRowFunction="custom">
      <totalsRowFormula>SUM(ConsumerCounts[ResConsumers])</totalsRowFormula>
    </tableColumn>
    <tableColumn id="3" xr3:uid="{00000000-0010-0000-0100-000003000000}" name="ComConsumers" totalsRowFunction="sum"/>
    <tableColumn id="4" xr3:uid="{00000000-0010-0000-0100-000004000000}" name="IndConsumers" totalsRowFunction="sum"/>
    <tableColumn id="5" xr3:uid="{00000000-0010-0000-0100-000005000000}" name="AgriConsumers" totalsRowFunction="sum"/>
    <tableColumn id="6" xr3:uid="{00000000-0010-0000-0100-000006000000}" name="ConsumersConnected" totalsRowFunction="sum" dataDxfId="13" totalsRowDxfId="12">
      <calculatedColumnFormula>SUM(ConsumerCounts[[#This Row],[ResConsumers]],ConsumerCounts[[#This Row],[ComConsumers]],ConsumerCounts[[#This Row],[IndConsumers]],ConsumerCounts[[#This Row],[AgriConsumers]])</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nthlyConsumption" displayName="MonthlyConsumption" ref="A1:C481">
  <autoFilter ref="A1:C481" xr:uid="{00000000-0009-0000-0100-000003000000}"/>
  <tableColumns count="3">
    <tableColumn id="1" xr3:uid="{00000000-0010-0000-0200-000001000000}" name="FeederID"/>
    <tableColumn id="2" xr3:uid="{00000000-0010-0000-0200-000002000000}" name="Month"/>
    <tableColumn id="3" xr3:uid="{00000000-0010-0000-0200-000003000000}" name="kWh"/>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enue" displayName="Revenue" ref="A1:D42" totalsRowCount="1">
  <autoFilter ref="A1:D41" xr:uid="{00000000-0009-0000-0100-000004000000}"/>
  <tableColumns count="4">
    <tableColumn id="1" xr3:uid="{00000000-0010-0000-0300-000001000000}" name="FeederID"/>
    <tableColumn id="2" xr3:uid="{00000000-0010-0000-0300-000002000000}" name="Annual_kWh" totalsRowFunction="sum"/>
    <tableColumn id="3" xr3:uid="{00000000-0010-0000-0300-000003000000}" name="RatePKR_per_kWh" totalsRowFunction="sum"/>
    <tableColumn id="4" xr3:uid="{00000000-0010-0000-0300-000004000000}" name="Annual_Revenue_PKR" totalsRowFunction="sum" dataDxfId="11" totalsRowDxfId="10">
      <calculatedColumnFormula>B2*C2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tabSelected="1" zoomScale="49" zoomScaleNormal="100" workbookViewId="0">
      <pane ySplit="1" topLeftCell="A2" activePane="bottomLeft" state="frozen"/>
      <selection pane="bottomLeft" activeCell="K24" sqref="K24"/>
    </sheetView>
  </sheetViews>
  <sheetFormatPr defaultRowHeight="14.5" x14ac:dyDescent="0.35"/>
  <cols>
    <col min="1" max="10" width="22" customWidth="1"/>
    <col min="14" max="14" width="26.1796875" customWidth="1"/>
    <col min="17" max="17" width="24" bestFit="1" customWidth="1"/>
    <col min="18" max="18" width="19" bestFit="1" customWidth="1"/>
    <col min="19" max="19" width="18.453125" bestFit="1" customWidth="1"/>
    <col min="20" max="20" width="14.453125" bestFit="1" customWidth="1"/>
    <col min="21" max="21" width="16.7265625" bestFit="1" customWidth="1"/>
    <col min="22" max="22" width="8.453125" bestFit="1" customWidth="1"/>
    <col min="23" max="23" width="11.453125" bestFit="1" customWidth="1"/>
    <col min="24" max="24" width="21.1796875" bestFit="1" customWidth="1"/>
    <col min="25" max="25" width="23.26953125" bestFit="1" customWidth="1"/>
    <col min="26" max="26" width="18" bestFit="1" customWidth="1"/>
  </cols>
  <sheetData>
    <row r="1" spans="1:26" x14ac:dyDescent="0.35">
      <c r="A1" s="14" t="s">
        <v>0</v>
      </c>
      <c r="B1" s="14" t="s">
        <v>1</v>
      </c>
      <c r="C1" s="14" t="s">
        <v>2</v>
      </c>
      <c r="D1" s="14" t="s">
        <v>3</v>
      </c>
      <c r="E1" s="14" t="s">
        <v>4</v>
      </c>
      <c r="F1" s="14" t="s">
        <v>5</v>
      </c>
      <c r="G1" s="14" t="s">
        <v>6</v>
      </c>
      <c r="H1" s="14" t="s">
        <v>7</v>
      </c>
      <c r="I1" s="14" t="s">
        <v>8</v>
      </c>
      <c r="J1" s="14" t="s">
        <v>9</v>
      </c>
    </row>
    <row r="2" spans="1:26" x14ac:dyDescent="0.35">
      <c r="A2" s="6">
        <v>1</v>
      </c>
      <c r="B2" s="6" t="s">
        <v>10</v>
      </c>
      <c r="C2" s="6" t="s">
        <v>11</v>
      </c>
      <c r="D2" s="6" t="s">
        <v>12</v>
      </c>
      <c r="E2" s="6" t="s">
        <v>13</v>
      </c>
      <c r="F2" s="6" t="s">
        <v>14</v>
      </c>
      <c r="G2" s="6" t="s">
        <v>15</v>
      </c>
      <c r="H2" s="6">
        <v>21</v>
      </c>
      <c r="I2" s="6">
        <v>0.55000000000000004</v>
      </c>
      <c r="J2" s="6">
        <v>4597.1000000000004</v>
      </c>
      <c r="N2" s="7" t="s">
        <v>1</v>
      </c>
      <c r="Q2" s="11" t="s">
        <v>0</v>
      </c>
      <c r="R2" s="11" t="s">
        <v>1</v>
      </c>
      <c r="S2" s="11" t="s">
        <v>2</v>
      </c>
      <c r="T2" s="11" t="s">
        <v>3</v>
      </c>
      <c r="U2" s="11" t="s">
        <v>4</v>
      </c>
      <c r="V2" s="11" t="s">
        <v>5</v>
      </c>
      <c r="W2" s="11" t="s">
        <v>6</v>
      </c>
      <c r="X2" s="11" t="s">
        <v>7</v>
      </c>
      <c r="Y2" s="11" t="s">
        <v>8</v>
      </c>
      <c r="Z2" s="11" t="s">
        <v>9</v>
      </c>
    </row>
    <row r="3" spans="1:26" x14ac:dyDescent="0.35">
      <c r="A3" s="6">
        <v>1</v>
      </c>
      <c r="B3" s="6" t="s">
        <v>10</v>
      </c>
      <c r="C3" s="6" t="s">
        <v>11</v>
      </c>
      <c r="D3" s="6" t="s">
        <v>12</v>
      </c>
      <c r="E3" s="6" t="s">
        <v>16</v>
      </c>
      <c r="F3" s="6" t="s">
        <v>17</v>
      </c>
      <c r="G3" s="6" t="s">
        <v>18</v>
      </c>
      <c r="H3" s="6">
        <v>20</v>
      </c>
      <c r="I3" s="6">
        <v>0.54</v>
      </c>
      <c r="J3" s="6">
        <v>7780.7</v>
      </c>
      <c r="N3" s="2" t="s">
        <v>19</v>
      </c>
      <c r="Q3" s="6" cm="1">
        <f t="array" ref="Q3:Z14">_xlfn._xlws.FILTER(Feeders[],Feeders[StationName]=N3,"Not Have data")</f>
        <v>3</v>
      </c>
      <c r="R3" s="6" t="str">
        <v>Hattar 132kV – Industrial</v>
      </c>
      <c r="S3" s="6" t="str">
        <v>132 kV</v>
      </c>
      <c r="T3" s="6" t="str">
        <v>Industrial Estate</v>
      </c>
      <c r="U3" s="6" t="str">
        <v>Khalabat Township</v>
      </c>
      <c r="V3" s="6" t="str">
        <v>FDR-029</v>
      </c>
      <c r="W3" s="6" t="str">
        <v>Hattar-01</v>
      </c>
      <c r="X3" s="6">
        <v>21</v>
      </c>
      <c r="Y3" s="6">
        <v>0.6</v>
      </c>
      <c r="Z3" s="6">
        <v>10993.2</v>
      </c>
    </row>
    <row r="4" spans="1:26" x14ac:dyDescent="0.35">
      <c r="A4" s="6">
        <v>1</v>
      </c>
      <c r="B4" s="6" t="s">
        <v>10</v>
      </c>
      <c r="C4" s="6" t="s">
        <v>11</v>
      </c>
      <c r="D4" s="6" t="s">
        <v>12</v>
      </c>
      <c r="E4" s="6" t="s">
        <v>13</v>
      </c>
      <c r="F4" s="6" t="s">
        <v>20</v>
      </c>
      <c r="G4" s="6" t="s">
        <v>21</v>
      </c>
      <c r="H4" s="6">
        <v>20</v>
      </c>
      <c r="I4" s="6">
        <v>0.55000000000000004</v>
      </c>
      <c r="J4" s="6">
        <v>8581.4</v>
      </c>
      <c r="Q4" s="6">
        <v>3</v>
      </c>
      <c r="R4" s="6" t="str">
        <v>Hattar 132kV – Industrial</v>
      </c>
      <c r="S4" s="6" t="str">
        <v>132 kV</v>
      </c>
      <c r="T4" s="6" t="str">
        <v>Industrial Estate</v>
      </c>
      <c r="U4" s="6" t="str">
        <v>Shah Maqsood</v>
      </c>
      <c r="V4" s="6" t="str">
        <v>FDR-030</v>
      </c>
      <c r="W4" s="6" t="str">
        <v>Hattar-02</v>
      </c>
      <c r="X4" s="6">
        <v>22</v>
      </c>
      <c r="Y4" s="6">
        <v>0.51</v>
      </c>
      <c r="Z4" s="6">
        <v>9695.6</v>
      </c>
    </row>
    <row r="5" spans="1:26" x14ac:dyDescent="0.35">
      <c r="A5" s="6">
        <v>1</v>
      </c>
      <c r="B5" s="6" t="s">
        <v>10</v>
      </c>
      <c r="C5" s="6" t="s">
        <v>11</v>
      </c>
      <c r="D5" s="6" t="s">
        <v>12</v>
      </c>
      <c r="E5" s="6" t="s">
        <v>22</v>
      </c>
      <c r="F5" s="6" t="s">
        <v>23</v>
      </c>
      <c r="G5" s="6" t="s">
        <v>24</v>
      </c>
      <c r="H5" s="6">
        <v>20</v>
      </c>
      <c r="I5" s="6">
        <v>0.57999999999999996</v>
      </c>
      <c r="J5" s="6">
        <v>8449.9</v>
      </c>
      <c r="Q5" s="6">
        <v>3</v>
      </c>
      <c r="R5" s="6" t="str">
        <v>Hattar 132kV – Industrial</v>
      </c>
      <c r="S5" s="6" t="str">
        <v>132 kV</v>
      </c>
      <c r="T5" s="6" t="str">
        <v>Industrial Estate</v>
      </c>
      <c r="U5" s="6" t="str">
        <v>Hattar</v>
      </c>
      <c r="V5" s="6" t="str">
        <v>FDR-031</v>
      </c>
      <c r="W5" s="6" t="str">
        <v>Hattar-03</v>
      </c>
      <c r="X5" s="6">
        <v>23</v>
      </c>
      <c r="Y5" s="6">
        <v>0.56000000000000005</v>
      </c>
      <c r="Z5" s="6">
        <v>7699.8</v>
      </c>
    </row>
    <row r="6" spans="1:26" x14ac:dyDescent="0.35">
      <c r="A6" s="6">
        <v>1</v>
      </c>
      <c r="B6" s="6" t="s">
        <v>10</v>
      </c>
      <c r="C6" s="6" t="s">
        <v>11</v>
      </c>
      <c r="D6" s="6" t="s">
        <v>12</v>
      </c>
      <c r="E6" s="6" t="s">
        <v>25</v>
      </c>
      <c r="F6" s="6" t="s">
        <v>26</v>
      </c>
      <c r="G6" s="6" t="s">
        <v>27</v>
      </c>
      <c r="H6" s="6">
        <v>21</v>
      </c>
      <c r="I6" s="6">
        <v>0.52</v>
      </c>
      <c r="J6" s="6">
        <v>8552.7000000000007</v>
      </c>
      <c r="Q6" s="6">
        <v>3</v>
      </c>
      <c r="R6" s="6" t="str">
        <v>Hattar 132kV – Industrial</v>
      </c>
      <c r="S6" s="6" t="str">
        <v>132 kV</v>
      </c>
      <c r="T6" s="6" t="str">
        <v>Industrial Estate</v>
      </c>
      <c r="U6" s="6" t="str">
        <v>Pind Ghazi</v>
      </c>
      <c r="V6" s="6" t="str">
        <v>FDR-032</v>
      </c>
      <c r="W6" s="6" t="str">
        <v>Hattar-04</v>
      </c>
      <c r="X6" s="6">
        <v>22</v>
      </c>
      <c r="Y6" s="6">
        <v>0.51</v>
      </c>
      <c r="Z6" s="6">
        <v>8807.4</v>
      </c>
    </row>
    <row r="7" spans="1:26" x14ac:dyDescent="0.35">
      <c r="A7" s="6">
        <v>1</v>
      </c>
      <c r="B7" s="6" t="s">
        <v>10</v>
      </c>
      <c r="C7" s="6" t="s">
        <v>11</v>
      </c>
      <c r="D7" s="6" t="s">
        <v>12</v>
      </c>
      <c r="E7" s="6" t="s">
        <v>13</v>
      </c>
      <c r="F7" s="6" t="s">
        <v>28</v>
      </c>
      <c r="G7" s="6" t="s">
        <v>29</v>
      </c>
      <c r="H7" s="6">
        <v>22</v>
      </c>
      <c r="I7" s="6">
        <v>0.5</v>
      </c>
      <c r="J7" s="6">
        <v>7372.1</v>
      </c>
      <c r="Q7" s="6">
        <v>3</v>
      </c>
      <c r="R7" s="6" t="str">
        <v>Hattar 132kV – Industrial</v>
      </c>
      <c r="S7" s="6" t="str">
        <v>132 kV</v>
      </c>
      <c r="T7" s="6" t="str">
        <v>Industrial Estate</v>
      </c>
      <c r="U7" s="6" t="str">
        <v>Kot Najibullah</v>
      </c>
      <c r="V7" s="6" t="str">
        <v>FDR-033</v>
      </c>
      <c r="W7" s="6" t="str">
        <v>Hattar-05</v>
      </c>
      <c r="X7" s="6">
        <v>20</v>
      </c>
      <c r="Y7" s="6">
        <v>0.51</v>
      </c>
      <c r="Z7" s="6">
        <v>6974.1</v>
      </c>
    </row>
    <row r="8" spans="1:26" x14ac:dyDescent="0.35">
      <c r="A8" s="6">
        <v>1</v>
      </c>
      <c r="B8" s="6" t="s">
        <v>10</v>
      </c>
      <c r="C8" s="6" t="s">
        <v>11</v>
      </c>
      <c r="D8" s="6" t="s">
        <v>12</v>
      </c>
      <c r="E8" s="6" t="s">
        <v>22</v>
      </c>
      <c r="F8" s="6" t="s">
        <v>30</v>
      </c>
      <c r="G8" s="6" t="s">
        <v>31</v>
      </c>
      <c r="H8" s="6">
        <v>19</v>
      </c>
      <c r="I8" s="6">
        <v>0.53</v>
      </c>
      <c r="J8" s="6">
        <v>7504.5</v>
      </c>
      <c r="Q8" s="6">
        <v>3</v>
      </c>
      <c r="R8" s="6" t="str">
        <v>Hattar 132kV – Industrial</v>
      </c>
      <c r="S8" s="6" t="str">
        <v>132 kV</v>
      </c>
      <c r="T8" s="6" t="str">
        <v>Industrial Estate</v>
      </c>
      <c r="U8" s="6" t="str">
        <v>Khalabat Township</v>
      </c>
      <c r="V8" s="6" t="str">
        <v>FDR-034</v>
      </c>
      <c r="W8" s="6" t="str">
        <v>Hattar-06</v>
      </c>
      <c r="X8" s="6">
        <v>21</v>
      </c>
      <c r="Y8" s="6">
        <v>0.52</v>
      </c>
      <c r="Z8" s="6">
        <v>11869.4</v>
      </c>
    </row>
    <row r="9" spans="1:26" x14ac:dyDescent="0.35">
      <c r="A9" s="6">
        <v>1</v>
      </c>
      <c r="B9" s="6" t="s">
        <v>10</v>
      </c>
      <c r="C9" s="6" t="s">
        <v>11</v>
      </c>
      <c r="D9" s="6" t="s">
        <v>12</v>
      </c>
      <c r="E9" s="6" t="s">
        <v>22</v>
      </c>
      <c r="F9" s="6" t="s">
        <v>32</v>
      </c>
      <c r="G9" s="6" t="s">
        <v>33</v>
      </c>
      <c r="H9" s="6">
        <v>22</v>
      </c>
      <c r="I9" s="6">
        <v>0.59</v>
      </c>
      <c r="J9" s="6">
        <v>5943</v>
      </c>
      <c r="Q9" s="6">
        <v>3</v>
      </c>
      <c r="R9" s="6" t="str">
        <v>Hattar 132kV – Industrial</v>
      </c>
      <c r="S9" s="6" t="str">
        <v>132 kV</v>
      </c>
      <c r="T9" s="6" t="str">
        <v>Industrial Estate</v>
      </c>
      <c r="U9" s="6" t="str">
        <v>Sobra City</v>
      </c>
      <c r="V9" s="6" t="str">
        <v>FDR-035</v>
      </c>
      <c r="W9" s="6" t="str">
        <v>Hattar-07</v>
      </c>
      <c r="X9" s="6">
        <v>22</v>
      </c>
      <c r="Y9" s="6">
        <v>0.48</v>
      </c>
      <c r="Z9" s="6">
        <v>8924.7000000000007</v>
      </c>
    </row>
    <row r="10" spans="1:26" x14ac:dyDescent="0.35">
      <c r="A10" s="6">
        <v>1</v>
      </c>
      <c r="B10" s="6" t="s">
        <v>10</v>
      </c>
      <c r="C10" s="6" t="s">
        <v>11</v>
      </c>
      <c r="D10" s="6" t="s">
        <v>12</v>
      </c>
      <c r="E10" s="6" t="s">
        <v>34</v>
      </c>
      <c r="F10" s="6" t="s">
        <v>35</v>
      </c>
      <c r="G10" s="6" t="s">
        <v>36</v>
      </c>
      <c r="H10" s="6">
        <v>22</v>
      </c>
      <c r="I10" s="6">
        <v>0.45</v>
      </c>
      <c r="J10" s="6">
        <v>4333.8999999999996</v>
      </c>
      <c r="Q10" s="6">
        <v>3</v>
      </c>
      <c r="R10" s="6" t="str">
        <v>Hattar 132kV – Industrial</v>
      </c>
      <c r="S10" s="6" t="str">
        <v>132 kV</v>
      </c>
      <c r="T10" s="6" t="str">
        <v>Industrial Estate</v>
      </c>
      <c r="U10" s="6" t="str">
        <v>Sikandarpur</v>
      </c>
      <c r="V10" s="6" t="str">
        <v>FDR-036</v>
      </c>
      <c r="W10" s="6" t="str">
        <v>Hattar-08</v>
      </c>
      <c r="X10" s="6">
        <v>22</v>
      </c>
      <c r="Y10" s="6">
        <v>0.6</v>
      </c>
      <c r="Z10" s="6">
        <v>10919.8</v>
      </c>
    </row>
    <row r="11" spans="1:26" x14ac:dyDescent="0.35">
      <c r="A11" s="6">
        <v>1</v>
      </c>
      <c r="B11" s="6" t="s">
        <v>10</v>
      </c>
      <c r="C11" s="6" t="s">
        <v>11</v>
      </c>
      <c r="D11" s="6" t="s">
        <v>12</v>
      </c>
      <c r="E11" s="6" t="s">
        <v>34</v>
      </c>
      <c r="F11" s="6" t="s">
        <v>37</v>
      </c>
      <c r="G11" s="6" t="s">
        <v>38</v>
      </c>
      <c r="H11" s="6">
        <v>20</v>
      </c>
      <c r="I11" s="6">
        <v>0.52</v>
      </c>
      <c r="J11" s="6">
        <v>5796.5</v>
      </c>
      <c r="Q11" s="6">
        <v>3</v>
      </c>
      <c r="R11" s="6" t="str">
        <v>Hattar 132kV – Industrial</v>
      </c>
      <c r="S11" s="6" t="str">
        <v>132 kV</v>
      </c>
      <c r="T11" s="6" t="str">
        <v>Industrial Estate</v>
      </c>
      <c r="U11" s="6" t="str">
        <v>Pind Ghazi</v>
      </c>
      <c r="V11" s="6" t="str">
        <v>FDR-037</v>
      </c>
      <c r="W11" s="6" t="str">
        <v>Hattar-09</v>
      </c>
      <c r="X11" s="6">
        <v>23</v>
      </c>
      <c r="Y11" s="6">
        <v>0.48</v>
      </c>
      <c r="Z11" s="6">
        <v>9786.7000000000007</v>
      </c>
    </row>
    <row r="12" spans="1:26" x14ac:dyDescent="0.35">
      <c r="A12" s="6">
        <v>1</v>
      </c>
      <c r="B12" s="6" t="s">
        <v>10</v>
      </c>
      <c r="C12" s="6" t="s">
        <v>11</v>
      </c>
      <c r="D12" s="6" t="s">
        <v>12</v>
      </c>
      <c r="E12" s="6" t="s">
        <v>34</v>
      </c>
      <c r="F12" s="6" t="s">
        <v>39</v>
      </c>
      <c r="G12" s="6" t="s">
        <v>40</v>
      </c>
      <c r="H12" s="6">
        <v>20</v>
      </c>
      <c r="I12" s="6">
        <v>0.48</v>
      </c>
      <c r="J12" s="6">
        <v>8926.2000000000007</v>
      </c>
      <c r="Q12" s="6">
        <v>3</v>
      </c>
      <c r="R12" s="6" t="str">
        <v>Hattar 132kV – Industrial</v>
      </c>
      <c r="S12" s="6" t="str">
        <v>132 kV</v>
      </c>
      <c r="T12" s="6" t="str">
        <v>Industrial Estate</v>
      </c>
      <c r="U12" s="6" t="str">
        <v>Khalabat Township</v>
      </c>
      <c r="V12" s="6" t="str">
        <v>FDR-038</v>
      </c>
      <c r="W12" s="6" t="str">
        <v>Hattar-10</v>
      </c>
      <c r="X12" s="6">
        <v>22</v>
      </c>
      <c r="Y12" s="6">
        <v>0.53</v>
      </c>
      <c r="Z12" s="6">
        <v>9838.5</v>
      </c>
    </row>
    <row r="13" spans="1:26" x14ac:dyDescent="0.35">
      <c r="A13" s="6">
        <v>1</v>
      </c>
      <c r="B13" s="6" t="s">
        <v>10</v>
      </c>
      <c r="C13" s="6" t="s">
        <v>11</v>
      </c>
      <c r="D13" s="6" t="s">
        <v>12</v>
      </c>
      <c r="E13" s="6" t="s">
        <v>22</v>
      </c>
      <c r="F13" s="6" t="s">
        <v>41</v>
      </c>
      <c r="G13" s="6" t="s">
        <v>42</v>
      </c>
      <c r="H13" s="6">
        <v>20</v>
      </c>
      <c r="I13" s="6">
        <v>0.52</v>
      </c>
      <c r="J13" s="6">
        <v>9397.5</v>
      </c>
      <c r="Q13" s="6">
        <v>3</v>
      </c>
      <c r="R13" s="6" t="str">
        <v>Hattar 132kV – Industrial</v>
      </c>
      <c r="S13" s="6" t="str">
        <v>132 kV</v>
      </c>
      <c r="T13" s="6" t="str">
        <v>Industrial Estate</v>
      </c>
      <c r="U13" s="6" t="str">
        <v>Kot Najibullah</v>
      </c>
      <c r="V13" s="6" t="str">
        <v>FDR-039</v>
      </c>
      <c r="W13" s="6" t="str">
        <v>Hattar-11</v>
      </c>
      <c r="X13" s="6">
        <v>23</v>
      </c>
      <c r="Y13" s="6">
        <v>0.54</v>
      </c>
      <c r="Z13" s="6">
        <v>8748.5</v>
      </c>
    </row>
    <row r="14" spans="1:26" x14ac:dyDescent="0.35">
      <c r="A14" s="6">
        <v>1</v>
      </c>
      <c r="B14" s="6" t="s">
        <v>10</v>
      </c>
      <c r="C14" s="6" t="s">
        <v>11</v>
      </c>
      <c r="D14" s="6" t="s">
        <v>12</v>
      </c>
      <c r="E14" s="6" t="s">
        <v>34</v>
      </c>
      <c r="F14" s="6" t="s">
        <v>43</v>
      </c>
      <c r="G14" s="6" t="s">
        <v>44</v>
      </c>
      <c r="H14" s="6">
        <v>19</v>
      </c>
      <c r="I14" s="6">
        <v>0.48</v>
      </c>
      <c r="J14" s="6">
        <v>8223.4</v>
      </c>
      <c r="Q14" s="6">
        <v>3</v>
      </c>
      <c r="R14" s="6" t="str">
        <v>Hattar 132kV – Industrial</v>
      </c>
      <c r="S14" s="6" t="str">
        <v>132 kV</v>
      </c>
      <c r="T14" s="6" t="str">
        <v>Industrial Estate</v>
      </c>
      <c r="U14" s="6" t="str">
        <v>Ghazi</v>
      </c>
      <c r="V14" s="6" t="str">
        <v>FDR-040</v>
      </c>
      <c r="W14" s="6" t="str">
        <v>Hattar-12</v>
      </c>
      <c r="X14" s="6">
        <v>21</v>
      </c>
      <c r="Y14" s="6">
        <v>0.55000000000000004</v>
      </c>
      <c r="Z14" s="6">
        <v>8540.4</v>
      </c>
    </row>
    <row r="15" spans="1:26" x14ac:dyDescent="0.35">
      <c r="A15" s="6">
        <v>1</v>
      </c>
      <c r="B15" s="6" t="s">
        <v>10</v>
      </c>
      <c r="C15" s="6" t="s">
        <v>11</v>
      </c>
      <c r="D15" s="6" t="s">
        <v>12</v>
      </c>
      <c r="E15" s="6" t="s">
        <v>45</v>
      </c>
      <c r="F15" s="6" t="s">
        <v>46</v>
      </c>
      <c r="G15" s="6" t="s">
        <v>47</v>
      </c>
      <c r="H15" s="6">
        <v>20</v>
      </c>
      <c r="I15" s="6">
        <v>0.54</v>
      </c>
      <c r="J15" s="6">
        <v>6701.4</v>
      </c>
      <c r="Q15" s="6"/>
      <c r="R15" s="6"/>
      <c r="S15" s="6"/>
      <c r="T15" s="6"/>
      <c r="U15" s="6"/>
      <c r="V15" s="6"/>
      <c r="W15" s="6"/>
      <c r="X15" s="6"/>
      <c r="Y15" s="6"/>
      <c r="Z15" s="6"/>
    </row>
    <row r="16" spans="1:26" x14ac:dyDescent="0.35">
      <c r="A16" s="6">
        <v>1</v>
      </c>
      <c r="B16" s="6" t="s">
        <v>10</v>
      </c>
      <c r="C16" s="6" t="s">
        <v>11</v>
      </c>
      <c r="D16" s="6" t="s">
        <v>12</v>
      </c>
      <c r="E16" s="6" t="s">
        <v>48</v>
      </c>
      <c r="F16" s="6" t="s">
        <v>49</v>
      </c>
      <c r="G16" s="6" t="s">
        <v>50</v>
      </c>
      <c r="H16" s="6">
        <v>20</v>
      </c>
      <c r="I16" s="6">
        <v>0.53</v>
      </c>
      <c r="J16" s="6">
        <v>7144.9</v>
      </c>
      <c r="Q16" s="6"/>
      <c r="R16" s="6"/>
      <c r="S16" s="6"/>
      <c r="T16" s="6"/>
      <c r="U16" s="6"/>
      <c r="V16" s="6"/>
      <c r="W16" s="6"/>
      <c r="X16" s="6"/>
      <c r="Y16" s="6"/>
      <c r="Z16" s="6"/>
    </row>
    <row r="17" spans="1:26" x14ac:dyDescent="0.35">
      <c r="A17" s="6">
        <v>1</v>
      </c>
      <c r="B17" s="6" t="s">
        <v>10</v>
      </c>
      <c r="C17" s="6" t="s">
        <v>11</v>
      </c>
      <c r="D17" s="6" t="s">
        <v>12</v>
      </c>
      <c r="E17" s="6" t="s">
        <v>51</v>
      </c>
      <c r="F17" s="6" t="s">
        <v>52</v>
      </c>
      <c r="G17" s="6" t="s">
        <v>53</v>
      </c>
      <c r="H17" s="6">
        <v>21</v>
      </c>
      <c r="I17" s="6">
        <v>0.54</v>
      </c>
      <c r="J17" s="6">
        <v>6054.5</v>
      </c>
      <c r="Q17" s="6"/>
      <c r="R17" s="6"/>
      <c r="S17" s="6"/>
      <c r="T17" s="6"/>
      <c r="U17" s="6"/>
      <c r="V17" s="6"/>
      <c r="W17" s="6"/>
      <c r="X17" s="6"/>
      <c r="Y17" s="6"/>
      <c r="Z17" s="6"/>
    </row>
    <row r="18" spans="1:26" x14ac:dyDescent="0.35">
      <c r="A18" s="6">
        <v>2</v>
      </c>
      <c r="B18" s="6" t="s">
        <v>54</v>
      </c>
      <c r="C18" s="6" t="s">
        <v>55</v>
      </c>
      <c r="D18" s="6" t="s">
        <v>56</v>
      </c>
      <c r="E18" s="6" t="s">
        <v>57</v>
      </c>
      <c r="F18" s="6" t="s">
        <v>58</v>
      </c>
      <c r="G18" s="6" t="s">
        <v>15</v>
      </c>
      <c r="H18" s="6">
        <v>20</v>
      </c>
      <c r="I18" s="6">
        <v>0.59</v>
      </c>
      <c r="J18" s="6">
        <v>3929.1</v>
      </c>
      <c r="Q18" s="6"/>
      <c r="R18" s="6"/>
      <c r="S18" s="6"/>
      <c r="T18" s="6"/>
      <c r="U18" s="6"/>
      <c r="V18" s="6"/>
      <c r="W18" s="6"/>
      <c r="X18" s="6"/>
      <c r="Y18" s="6"/>
      <c r="Z18" s="6"/>
    </row>
    <row r="19" spans="1:26" x14ac:dyDescent="0.35">
      <c r="A19" s="6">
        <v>2</v>
      </c>
      <c r="B19" s="6" t="s">
        <v>54</v>
      </c>
      <c r="C19" s="6" t="s">
        <v>55</v>
      </c>
      <c r="D19" s="6" t="s">
        <v>56</v>
      </c>
      <c r="E19" s="6" t="s">
        <v>45</v>
      </c>
      <c r="F19" s="6" t="s">
        <v>59</v>
      </c>
      <c r="G19" s="6" t="s">
        <v>18</v>
      </c>
      <c r="H19" s="6">
        <v>18</v>
      </c>
      <c r="I19" s="6">
        <v>0.56000000000000005</v>
      </c>
      <c r="J19" s="6">
        <v>3896</v>
      </c>
    </row>
    <row r="20" spans="1:26" x14ac:dyDescent="0.35">
      <c r="A20" s="6">
        <v>2</v>
      </c>
      <c r="B20" s="6" t="s">
        <v>54</v>
      </c>
      <c r="C20" s="6" t="s">
        <v>55</v>
      </c>
      <c r="D20" s="6" t="s">
        <v>56</v>
      </c>
      <c r="E20" s="6" t="s">
        <v>57</v>
      </c>
      <c r="F20" s="6" t="s">
        <v>60</v>
      </c>
      <c r="G20" s="6" t="s">
        <v>21</v>
      </c>
      <c r="H20" s="6">
        <v>17</v>
      </c>
      <c r="I20" s="6">
        <v>0.49</v>
      </c>
      <c r="J20" s="6">
        <v>3751.5</v>
      </c>
    </row>
    <row r="21" spans="1:26" x14ac:dyDescent="0.35">
      <c r="A21" s="6">
        <v>2</v>
      </c>
      <c r="B21" s="6" t="s">
        <v>54</v>
      </c>
      <c r="C21" s="6" t="s">
        <v>55</v>
      </c>
      <c r="D21" s="6" t="s">
        <v>56</v>
      </c>
      <c r="E21" s="6" t="s">
        <v>61</v>
      </c>
      <c r="F21" s="6" t="s">
        <v>62</v>
      </c>
      <c r="G21" s="6" t="s">
        <v>24</v>
      </c>
      <c r="H21" s="6">
        <v>17</v>
      </c>
      <c r="I21" s="6">
        <v>0.48</v>
      </c>
      <c r="J21" s="6">
        <v>6172.1</v>
      </c>
    </row>
    <row r="22" spans="1:26" x14ac:dyDescent="0.35">
      <c r="A22" s="6">
        <v>2</v>
      </c>
      <c r="B22" s="6" t="s">
        <v>54</v>
      </c>
      <c r="C22" s="6" t="s">
        <v>55</v>
      </c>
      <c r="D22" s="6" t="s">
        <v>56</v>
      </c>
      <c r="E22" s="6" t="s">
        <v>48</v>
      </c>
      <c r="F22" s="6" t="s">
        <v>63</v>
      </c>
      <c r="G22" s="6" t="s">
        <v>27</v>
      </c>
      <c r="H22" s="6">
        <v>20</v>
      </c>
      <c r="I22" s="6">
        <v>0.52</v>
      </c>
      <c r="J22" s="6">
        <v>4508.2</v>
      </c>
    </row>
    <row r="23" spans="1:26" x14ac:dyDescent="0.35">
      <c r="A23" s="6">
        <v>2</v>
      </c>
      <c r="B23" s="6" t="s">
        <v>54</v>
      </c>
      <c r="C23" s="6" t="s">
        <v>55</v>
      </c>
      <c r="D23" s="6" t="s">
        <v>56</v>
      </c>
      <c r="E23" s="6" t="s">
        <v>61</v>
      </c>
      <c r="F23" s="6" t="s">
        <v>64</v>
      </c>
      <c r="G23" s="6" t="s">
        <v>29</v>
      </c>
      <c r="H23" s="6">
        <v>19</v>
      </c>
      <c r="I23" s="6">
        <v>0.52</v>
      </c>
      <c r="J23" s="6">
        <v>5822.2</v>
      </c>
    </row>
    <row r="24" spans="1:26" x14ac:dyDescent="0.35">
      <c r="A24" s="6">
        <v>2</v>
      </c>
      <c r="B24" s="6" t="s">
        <v>54</v>
      </c>
      <c r="C24" s="6" t="s">
        <v>55</v>
      </c>
      <c r="D24" s="6" t="s">
        <v>56</v>
      </c>
      <c r="E24" s="6" t="s">
        <v>25</v>
      </c>
      <c r="F24" s="6" t="s">
        <v>65</v>
      </c>
      <c r="G24" s="6" t="s">
        <v>31</v>
      </c>
      <c r="H24" s="6">
        <v>18</v>
      </c>
      <c r="I24" s="6">
        <v>0.53</v>
      </c>
      <c r="J24" s="6">
        <v>3643.4</v>
      </c>
    </row>
    <row r="25" spans="1:26" x14ac:dyDescent="0.35">
      <c r="A25" s="6">
        <v>2</v>
      </c>
      <c r="B25" s="6" t="s">
        <v>54</v>
      </c>
      <c r="C25" s="6" t="s">
        <v>55</v>
      </c>
      <c r="D25" s="6" t="s">
        <v>56</v>
      </c>
      <c r="E25" s="6" t="s">
        <v>66</v>
      </c>
      <c r="F25" s="6" t="s">
        <v>67</v>
      </c>
      <c r="G25" s="6" t="s">
        <v>33</v>
      </c>
      <c r="H25" s="6">
        <v>19</v>
      </c>
      <c r="I25" s="6">
        <v>0.46</v>
      </c>
      <c r="J25" s="6">
        <v>6512.1</v>
      </c>
    </row>
    <row r="26" spans="1:26" x14ac:dyDescent="0.35">
      <c r="A26" s="6">
        <v>2</v>
      </c>
      <c r="B26" s="6" t="s">
        <v>54</v>
      </c>
      <c r="C26" s="6" t="s">
        <v>55</v>
      </c>
      <c r="D26" s="6" t="s">
        <v>56</v>
      </c>
      <c r="E26" s="6" t="s">
        <v>57</v>
      </c>
      <c r="F26" s="6" t="s">
        <v>68</v>
      </c>
      <c r="G26" s="6" t="s">
        <v>36</v>
      </c>
      <c r="H26" s="6">
        <v>18</v>
      </c>
      <c r="I26" s="6">
        <v>0.53</v>
      </c>
      <c r="J26" s="6">
        <v>6925.7</v>
      </c>
    </row>
    <row r="27" spans="1:26" x14ac:dyDescent="0.35">
      <c r="A27" s="6">
        <v>2</v>
      </c>
      <c r="B27" s="6" t="s">
        <v>54</v>
      </c>
      <c r="C27" s="6" t="s">
        <v>55</v>
      </c>
      <c r="D27" s="6" t="s">
        <v>56</v>
      </c>
      <c r="E27" s="6" t="s">
        <v>66</v>
      </c>
      <c r="F27" s="6" t="s">
        <v>69</v>
      </c>
      <c r="G27" s="6" t="s">
        <v>38</v>
      </c>
      <c r="H27" s="6">
        <v>17</v>
      </c>
      <c r="I27" s="6">
        <v>0.6</v>
      </c>
      <c r="J27" s="6">
        <v>3318.5</v>
      </c>
    </row>
    <row r="28" spans="1:26" x14ac:dyDescent="0.35">
      <c r="A28" s="6">
        <v>2</v>
      </c>
      <c r="B28" s="6" t="s">
        <v>54</v>
      </c>
      <c r="C28" s="6" t="s">
        <v>55</v>
      </c>
      <c r="D28" s="6" t="s">
        <v>56</v>
      </c>
      <c r="E28" s="6" t="s">
        <v>61</v>
      </c>
      <c r="F28" s="6" t="s">
        <v>70</v>
      </c>
      <c r="G28" s="6" t="s">
        <v>40</v>
      </c>
      <c r="H28" s="6">
        <v>18</v>
      </c>
      <c r="I28" s="6">
        <v>0.56000000000000005</v>
      </c>
      <c r="J28" s="6">
        <v>5372.8</v>
      </c>
    </row>
    <row r="29" spans="1:26" x14ac:dyDescent="0.35">
      <c r="A29" s="6">
        <v>2</v>
      </c>
      <c r="B29" s="6" t="s">
        <v>54</v>
      </c>
      <c r="C29" s="6" t="s">
        <v>55</v>
      </c>
      <c r="D29" s="6" t="s">
        <v>56</v>
      </c>
      <c r="E29" s="6" t="s">
        <v>16</v>
      </c>
      <c r="F29" s="6" t="s">
        <v>71</v>
      </c>
      <c r="G29" s="6" t="s">
        <v>42</v>
      </c>
      <c r="H29" s="6">
        <v>20</v>
      </c>
      <c r="I29" s="6">
        <v>0.46</v>
      </c>
      <c r="J29" s="6">
        <v>4142.5</v>
      </c>
    </row>
    <row r="30" spans="1:26" x14ac:dyDescent="0.35">
      <c r="A30" s="6">
        <v>3</v>
      </c>
      <c r="B30" s="6" t="s">
        <v>19</v>
      </c>
      <c r="C30" s="6" t="s">
        <v>11</v>
      </c>
      <c r="D30" s="6" t="s">
        <v>72</v>
      </c>
      <c r="E30" s="6" t="s">
        <v>13</v>
      </c>
      <c r="F30" s="6" t="s">
        <v>73</v>
      </c>
      <c r="G30" s="6" t="s">
        <v>74</v>
      </c>
      <c r="H30" s="6">
        <v>21</v>
      </c>
      <c r="I30" s="6">
        <v>0.6</v>
      </c>
      <c r="J30" s="6">
        <v>10993.2</v>
      </c>
    </row>
    <row r="31" spans="1:26" x14ac:dyDescent="0.35">
      <c r="A31" s="6">
        <v>3</v>
      </c>
      <c r="B31" s="6" t="s">
        <v>19</v>
      </c>
      <c r="C31" s="6" t="s">
        <v>11</v>
      </c>
      <c r="D31" s="6" t="s">
        <v>72</v>
      </c>
      <c r="E31" s="6" t="s">
        <v>34</v>
      </c>
      <c r="F31" s="6" t="s">
        <v>75</v>
      </c>
      <c r="G31" s="6" t="s">
        <v>76</v>
      </c>
      <c r="H31" s="6">
        <v>22</v>
      </c>
      <c r="I31" s="6">
        <v>0.51</v>
      </c>
      <c r="J31" s="6">
        <v>9695.6</v>
      </c>
    </row>
    <row r="32" spans="1:26" x14ac:dyDescent="0.35">
      <c r="A32" s="6">
        <v>3</v>
      </c>
      <c r="B32" s="6" t="s">
        <v>19</v>
      </c>
      <c r="C32" s="6" t="s">
        <v>11</v>
      </c>
      <c r="D32" s="6" t="s">
        <v>72</v>
      </c>
      <c r="E32" s="6" t="s">
        <v>51</v>
      </c>
      <c r="F32" s="6" t="s">
        <v>77</v>
      </c>
      <c r="G32" s="6" t="s">
        <v>78</v>
      </c>
      <c r="H32" s="6">
        <v>23</v>
      </c>
      <c r="I32" s="6">
        <v>0.56000000000000005</v>
      </c>
      <c r="J32" s="6">
        <v>7699.8</v>
      </c>
    </row>
    <row r="33" spans="1:18" x14ac:dyDescent="0.35">
      <c r="A33" s="6">
        <v>3</v>
      </c>
      <c r="B33" s="6" t="s">
        <v>19</v>
      </c>
      <c r="C33" s="6" t="s">
        <v>11</v>
      </c>
      <c r="D33" s="6" t="s">
        <v>72</v>
      </c>
      <c r="E33" s="6" t="s">
        <v>25</v>
      </c>
      <c r="F33" s="6" t="s">
        <v>79</v>
      </c>
      <c r="G33" s="6" t="s">
        <v>80</v>
      </c>
      <c r="H33" s="6">
        <v>22</v>
      </c>
      <c r="I33" s="6">
        <v>0.51</v>
      </c>
      <c r="J33" s="6">
        <v>8807.4</v>
      </c>
    </row>
    <row r="34" spans="1:18" x14ac:dyDescent="0.35">
      <c r="A34" s="6">
        <v>3</v>
      </c>
      <c r="B34" s="6" t="s">
        <v>19</v>
      </c>
      <c r="C34" s="6" t="s">
        <v>11</v>
      </c>
      <c r="D34" s="6" t="s">
        <v>72</v>
      </c>
      <c r="E34" s="6" t="s">
        <v>61</v>
      </c>
      <c r="F34" s="6" t="s">
        <v>81</v>
      </c>
      <c r="G34" s="6" t="s">
        <v>82</v>
      </c>
      <c r="H34" s="6">
        <v>20</v>
      </c>
      <c r="I34" s="6">
        <v>0.51</v>
      </c>
      <c r="J34" s="6">
        <v>6974.1</v>
      </c>
    </row>
    <row r="35" spans="1:18" x14ac:dyDescent="0.35">
      <c r="A35" s="6">
        <v>3</v>
      </c>
      <c r="B35" s="6" t="s">
        <v>19</v>
      </c>
      <c r="C35" s="6" t="s">
        <v>11</v>
      </c>
      <c r="D35" s="6" t="s">
        <v>72</v>
      </c>
      <c r="E35" s="6" t="s">
        <v>13</v>
      </c>
      <c r="F35" s="6" t="s">
        <v>83</v>
      </c>
      <c r="G35" s="6" t="s">
        <v>84</v>
      </c>
      <c r="H35" s="6">
        <v>21</v>
      </c>
      <c r="I35" s="6">
        <v>0.52</v>
      </c>
      <c r="J35" s="6">
        <v>11869.4</v>
      </c>
    </row>
    <row r="36" spans="1:18" x14ac:dyDescent="0.35">
      <c r="A36" s="6">
        <v>3</v>
      </c>
      <c r="B36" s="6" t="s">
        <v>19</v>
      </c>
      <c r="C36" s="6" t="s">
        <v>11</v>
      </c>
      <c r="D36" s="6" t="s">
        <v>72</v>
      </c>
      <c r="E36" s="6" t="s">
        <v>57</v>
      </c>
      <c r="F36" s="6" t="s">
        <v>85</v>
      </c>
      <c r="G36" s="6" t="s">
        <v>86</v>
      </c>
      <c r="H36" s="6">
        <v>22</v>
      </c>
      <c r="I36" s="6">
        <v>0.48</v>
      </c>
      <c r="J36" s="6">
        <v>8924.7000000000007</v>
      </c>
    </row>
    <row r="37" spans="1:18" x14ac:dyDescent="0.35">
      <c r="A37" s="6">
        <v>3</v>
      </c>
      <c r="B37" s="6" t="s">
        <v>19</v>
      </c>
      <c r="C37" s="6" t="s">
        <v>11</v>
      </c>
      <c r="D37" s="6" t="s">
        <v>72</v>
      </c>
      <c r="E37" s="6" t="s">
        <v>45</v>
      </c>
      <c r="F37" s="6" t="s">
        <v>87</v>
      </c>
      <c r="G37" s="6" t="s">
        <v>88</v>
      </c>
      <c r="H37" s="6">
        <v>22</v>
      </c>
      <c r="I37" s="6">
        <v>0.6</v>
      </c>
      <c r="J37" s="6">
        <v>10919.8</v>
      </c>
      <c r="Q37" s="3" t="s">
        <v>143</v>
      </c>
      <c r="R37" t="s">
        <v>144</v>
      </c>
    </row>
    <row r="38" spans="1:18" x14ac:dyDescent="0.35">
      <c r="A38" s="6">
        <v>3</v>
      </c>
      <c r="B38" s="6" t="s">
        <v>19</v>
      </c>
      <c r="C38" s="6" t="s">
        <v>11</v>
      </c>
      <c r="D38" s="6" t="s">
        <v>72</v>
      </c>
      <c r="E38" s="6" t="s">
        <v>25</v>
      </c>
      <c r="F38" s="6" t="s">
        <v>90</v>
      </c>
      <c r="G38" s="6" t="s">
        <v>91</v>
      </c>
      <c r="H38" s="6">
        <v>23</v>
      </c>
      <c r="I38" s="6">
        <v>0.48</v>
      </c>
      <c r="J38" s="6">
        <v>9786.7000000000007</v>
      </c>
      <c r="Q38" s="4" t="s">
        <v>19</v>
      </c>
      <c r="R38" s="16">
        <v>21.833333333333332</v>
      </c>
    </row>
    <row r="39" spans="1:18" x14ac:dyDescent="0.35">
      <c r="A39" s="6">
        <v>3</v>
      </c>
      <c r="B39" s="6" t="s">
        <v>19</v>
      </c>
      <c r="C39" s="6" t="s">
        <v>11</v>
      </c>
      <c r="D39" s="6" t="s">
        <v>72</v>
      </c>
      <c r="E39" s="6" t="s">
        <v>13</v>
      </c>
      <c r="F39" s="6" t="s">
        <v>92</v>
      </c>
      <c r="G39" s="6" t="s">
        <v>93</v>
      </c>
      <c r="H39" s="6">
        <v>22</v>
      </c>
      <c r="I39" s="6">
        <v>0.53</v>
      </c>
      <c r="J39" s="6">
        <v>9838.5</v>
      </c>
      <c r="Q39" s="5" t="s">
        <v>73</v>
      </c>
      <c r="R39" s="23">
        <v>21</v>
      </c>
    </row>
    <row r="40" spans="1:18" x14ac:dyDescent="0.35">
      <c r="A40" s="6">
        <v>3</v>
      </c>
      <c r="B40" s="6" t="s">
        <v>19</v>
      </c>
      <c r="C40" s="6" t="s">
        <v>11</v>
      </c>
      <c r="D40" s="6" t="s">
        <v>72</v>
      </c>
      <c r="E40" s="6" t="s">
        <v>61</v>
      </c>
      <c r="F40" s="6" t="s">
        <v>94</v>
      </c>
      <c r="G40" s="6" t="s">
        <v>95</v>
      </c>
      <c r="H40" s="6">
        <v>23</v>
      </c>
      <c r="I40" s="6">
        <v>0.54</v>
      </c>
      <c r="J40" s="6">
        <v>8748.5</v>
      </c>
      <c r="Q40" s="5" t="s">
        <v>75</v>
      </c>
      <c r="R40" s="23">
        <v>22</v>
      </c>
    </row>
    <row r="41" spans="1:18" x14ac:dyDescent="0.35">
      <c r="A41" s="6">
        <v>3</v>
      </c>
      <c r="B41" s="6" t="s">
        <v>19</v>
      </c>
      <c r="C41" s="6" t="s">
        <v>11</v>
      </c>
      <c r="D41" s="6" t="s">
        <v>72</v>
      </c>
      <c r="E41" s="6" t="s">
        <v>66</v>
      </c>
      <c r="F41" s="6" t="s">
        <v>96</v>
      </c>
      <c r="G41" s="6" t="s">
        <v>97</v>
      </c>
      <c r="H41" s="6">
        <v>21</v>
      </c>
      <c r="I41" s="6">
        <v>0.55000000000000004</v>
      </c>
      <c r="J41" s="6">
        <v>8540.4</v>
      </c>
      <c r="Q41" s="5" t="s">
        <v>77</v>
      </c>
      <c r="R41" s="23">
        <v>23</v>
      </c>
    </row>
    <row r="42" spans="1:18" x14ac:dyDescent="0.35">
      <c r="Q42" s="5" t="s">
        <v>79</v>
      </c>
      <c r="R42" s="23">
        <v>22</v>
      </c>
    </row>
    <row r="43" spans="1:18" x14ac:dyDescent="0.35">
      <c r="Q43" s="5" t="s">
        <v>81</v>
      </c>
      <c r="R43" s="23">
        <v>20</v>
      </c>
    </row>
    <row r="44" spans="1:18" x14ac:dyDescent="0.35">
      <c r="Q44" s="5" t="s">
        <v>83</v>
      </c>
      <c r="R44" s="23">
        <v>21</v>
      </c>
    </row>
    <row r="45" spans="1:18" x14ac:dyDescent="0.35">
      <c r="Q45" s="5" t="s">
        <v>85</v>
      </c>
      <c r="R45" s="23">
        <v>22</v>
      </c>
    </row>
    <row r="46" spans="1:18" x14ac:dyDescent="0.35">
      <c r="Q46" s="5" t="s">
        <v>87</v>
      </c>
      <c r="R46" s="23">
        <v>22</v>
      </c>
    </row>
    <row r="47" spans="1:18" x14ac:dyDescent="0.35">
      <c r="Q47" s="5" t="s">
        <v>90</v>
      </c>
      <c r="R47" s="23">
        <v>23</v>
      </c>
    </row>
    <row r="48" spans="1:18" x14ac:dyDescent="0.35">
      <c r="Q48" s="5" t="s">
        <v>92</v>
      </c>
      <c r="R48" s="23">
        <v>22</v>
      </c>
    </row>
    <row r="49" spans="17:18" x14ac:dyDescent="0.35">
      <c r="Q49" s="5" t="s">
        <v>94</v>
      </c>
      <c r="R49" s="23">
        <v>23</v>
      </c>
    </row>
    <row r="50" spans="17:18" x14ac:dyDescent="0.35">
      <c r="Q50" s="5" t="s">
        <v>96</v>
      </c>
      <c r="R50" s="23">
        <v>21</v>
      </c>
    </row>
    <row r="51" spans="17:18" x14ac:dyDescent="0.35">
      <c r="Q51" s="4" t="s">
        <v>98</v>
      </c>
      <c r="R51" s="16">
        <v>21.833333333333332</v>
      </c>
    </row>
  </sheetData>
  <dataValidations count="1">
    <dataValidation type="list" allowBlank="1" showInputMessage="1" showErrorMessage="1" sqref="N3" xr:uid="{B4B9AACF-89A0-436E-BD02-765988D4F371}">
      <formula1>$B$2:$B$41</formula1>
    </dataValidation>
  </dataValidations>
  <pageMargins left="0.75" right="0.75" top="1" bottom="1" header="0.5" footer="0.5"/>
  <drawing r:id="rId2"/>
  <tableParts count="1">
    <tablePart r:id="rId3"/>
  </tableParts>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2"/>
  <sheetViews>
    <sheetView zoomScale="77" workbookViewId="0">
      <pane ySplit="1" topLeftCell="A18" activePane="bottomLeft" state="frozen"/>
      <selection pane="bottomLeft" activeCell="F1" sqref="F1:F42"/>
    </sheetView>
  </sheetViews>
  <sheetFormatPr defaultRowHeight="14.5" x14ac:dyDescent="0.35"/>
  <cols>
    <col min="1" max="6" width="22" customWidth="1"/>
    <col min="9" max="9" width="3.54296875" customWidth="1"/>
    <col min="10" max="10" width="13.453125" bestFit="1" customWidth="1"/>
    <col min="11" max="11" width="19.90625" bestFit="1" customWidth="1"/>
    <col min="12" max="12" width="15.453125" bestFit="1" customWidth="1"/>
  </cols>
  <sheetData>
    <row r="1" spans="1:12" x14ac:dyDescent="0.35">
      <c r="A1" s="1" t="s">
        <v>5</v>
      </c>
      <c r="B1" s="1" t="s">
        <v>99</v>
      </c>
      <c r="C1" s="1" t="s">
        <v>100</v>
      </c>
      <c r="D1" s="1" t="s">
        <v>101</v>
      </c>
      <c r="E1" s="1" t="s">
        <v>102</v>
      </c>
      <c r="F1" s="1" t="s">
        <v>103</v>
      </c>
    </row>
    <row r="2" spans="1:12" x14ac:dyDescent="0.35">
      <c r="A2" t="s">
        <v>14</v>
      </c>
      <c r="B2">
        <v>1023</v>
      </c>
      <c r="C2">
        <v>237</v>
      </c>
      <c r="D2">
        <v>28</v>
      </c>
      <c r="E2">
        <v>20</v>
      </c>
      <c r="F2">
        <f>SUM(ConsumerCounts[[#This Row],[ResConsumers]],ConsumerCounts[[#This Row],[ComConsumers]],ConsumerCounts[[#This Row],[IndConsumers]],ConsumerCounts[[#This Row],[AgriConsumers]])</f>
        <v>1308</v>
      </c>
    </row>
    <row r="3" spans="1:12" x14ac:dyDescent="0.35">
      <c r="A3" t="s">
        <v>17</v>
      </c>
      <c r="B3">
        <v>1106</v>
      </c>
      <c r="C3">
        <v>231</v>
      </c>
      <c r="D3">
        <v>61</v>
      </c>
      <c r="E3">
        <v>51</v>
      </c>
      <c r="F3">
        <f>SUM(ConsumerCounts[[#This Row],[ResConsumers]],ConsumerCounts[[#This Row],[ComConsumers]],ConsumerCounts[[#This Row],[IndConsumers]],ConsumerCounts[[#This Row],[AgriConsumers]])</f>
        <v>1449</v>
      </c>
    </row>
    <row r="4" spans="1:12" x14ac:dyDescent="0.35">
      <c r="A4" t="s">
        <v>20</v>
      </c>
      <c r="B4">
        <v>1372</v>
      </c>
      <c r="C4">
        <v>170</v>
      </c>
      <c r="D4">
        <v>74</v>
      </c>
      <c r="E4">
        <v>28</v>
      </c>
      <c r="F4">
        <f>SUM(ConsumerCounts[[#This Row],[ResConsumers]],ConsumerCounts[[#This Row],[ComConsumers]],ConsumerCounts[[#This Row],[IndConsumers]],ConsumerCounts[[#This Row],[AgriConsumers]])</f>
        <v>1644</v>
      </c>
    </row>
    <row r="5" spans="1:12" x14ac:dyDescent="0.35">
      <c r="A5" t="s">
        <v>23</v>
      </c>
      <c r="B5">
        <v>1232</v>
      </c>
      <c r="C5">
        <v>249</v>
      </c>
      <c r="D5">
        <v>68</v>
      </c>
      <c r="E5">
        <v>44</v>
      </c>
      <c r="F5">
        <f>SUM(ConsumerCounts[[#This Row],[ResConsumers]],ConsumerCounts[[#This Row],[ComConsumers]],ConsumerCounts[[#This Row],[IndConsumers]],ConsumerCounts[[#This Row],[AgriConsumers]])</f>
        <v>1593</v>
      </c>
      <c r="J5" s="14" t="s">
        <v>104</v>
      </c>
      <c r="K5" s="14" t="s">
        <v>105</v>
      </c>
      <c r="L5" s="14" t="s">
        <v>106</v>
      </c>
    </row>
    <row r="6" spans="1:12" x14ac:dyDescent="0.35">
      <c r="A6" t="s">
        <v>26</v>
      </c>
      <c r="B6">
        <v>1236</v>
      </c>
      <c r="C6">
        <v>217</v>
      </c>
      <c r="D6">
        <v>74</v>
      </c>
      <c r="E6">
        <v>26</v>
      </c>
      <c r="F6">
        <f>SUM(ConsumerCounts[[#This Row],[ResConsumers]],ConsumerCounts[[#This Row],[ComConsumers]],ConsumerCounts[[#This Row],[IndConsumers]],ConsumerCounts[[#This Row],[AgriConsumers]])</f>
        <v>1553</v>
      </c>
      <c r="J6" s="6" t="s">
        <v>107</v>
      </c>
      <c r="K6" s="6">
        <f>B42</f>
        <v>34632</v>
      </c>
      <c r="L6" s="15">
        <f>K6/46262</f>
        <v>0.74860576715230642</v>
      </c>
    </row>
    <row r="7" spans="1:12" x14ac:dyDescent="0.35">
      <c r="A7" t="s">
        <v>28</v>
      </c>
      <c r="B7">
        <v>1253</v>
      </c>
      <c r="C7">
        <v>211</v>
      </c>
      <c r="D7">
        <v>51</v>
      </c>
      <c r="E7">
        <v>70</v>
      </c>
      <c r="F7">
        <f>SUM(ConsumerCounts[[#This Row],[ResConsumers]],ConsumerCounts[[#This Row],[ComConsumers]],ConsumerCounts[[#This Row],[IndConsumers]],ConsumerCounts[[#This Row],[AgriConsumers]])</f>
        <v>1585</v>
      </c>
      <c r="J7" s="6" t="s">
        <v>108</v>
      </c>
      <c r="K7" s="6">
        <f>C42</f>
        <v>7251</v>
      </c>
      <c r="L7" s="15">
        <f t="shared" ref="L7:L9" si="0">K7/46262</f>
        <v>0.15673771129652847</v>
      </c>
    </row>
    <row r="8" spans="1:12" x14ac:dyDescent="0.35">
      <c r="A8" t="s">
        <v>30</v>
      </c>
      <c r="B8">
        <v>1155</v>
      </c>
      <c r="C8">
        <v>211</v>
      </c>
      <c r="D8">
        <v>56</v>
      </c>
      <c r="E8">
        <v>60</v>
      </c>
      <c r="F8">
        <f>SUM(ConsumerCounts[[#This Row],[ResConsumers]],ConsumerCounts[[#This Row],[ComConsumers]],ConsumerCounts[[#This Row],[IndConsumers]],ConsumerCounts[[#This Row],[AgriConsumers]])</f>
        <v>1482</v>
      </c>
      <c r="J8" s="6" t="s">
        <v>109</v>
      </c>
      <c r="K8" s="6">
        <f>D42</f>
        <v>2362</v>
      </c>
      <c r="L8" s="15">
        <f t="shared" si="0"/>
        <v>5.1057023042670013E-2</v>
      </c>
    </row>
    <row r="9" spans="1:12" x14ac:dyDescent="0.35">
      <c r="A9" t="s">
        <v>32</v>
      </c>
      <c r="B9">
        <v>1245</v>
      </c>
      <c r="C9">
        <v>224</v>
      </c>
      <c r="D9">
        <v>37</v>
      </c>
      <c r="E9">
        <v>47</v>
      </c>
      <c r="F9">
        <f>SUM(ConsumerCounts[[#This Row],[ResConsumers]],ConsumerCounts[[#This Row],[ComConsumers]],ConsumerCounts[[#This Row],[IndConsumers]],ConsumerCounts[[#This Row],[AgriConsumers]])</f>
        <v>1553</v>
      </c>
      <c r="J9" s="6" t="s">
        <v>110</v>
      </c>
      <c r="K9" s="6">
        <f>E42</f>
        <v>2017</v>
      </c>
      <c r="L9" s="15">
        <f t="shared" si="0"/>
        <v>4.3599498508495094E-2</v>
      </c>
    </row>
    <row r="10" spans="1:12" x14ac:dyDescent="0.35">
      <c r="A10" t="s">
        <v>35</v>
      </c>
      <c r="B10">
        <v>1092</v>
      </c>
      <c r="C10">
        <v>181</v>
      </c>
      <c r="D10">
        <v>22</v>
      </c>
      <c r="E10">
        <v>42</v>
      </c>
      <c r="F10">
        <f>SUM(ConsumerCounts[[#This Row],[ResConsumers]],ConsumerCounts[[#This Row],[ComConsumers]],ConsumerCounts[[#This Row],[IndConsumers]],ConsumerCounts[[#This Row],[AgriConsumers]])</f>
        <v>1337</v>
      </c>
    </row>
    <row r="11" spans="1:12" x14ac:dyDescent="0.35">
      <c r="A11" t="s">
        <v>37</v>
      </c>
      <c r="B11">
        <v>970</v>
      </c>
      <c r="C11">
        <v>195</v>
      </c>
      <c r="D11">
        <v>43</v>
      </c>
      <c r="E11">
        <v>34</v>
      </c>
      <c r="F11">
        <f>SUM(ConsumerCounts[[#This Row],[ResConsumers]],ConsumerCounts[[#This Row],[ComConsumers]],ConsumerCounts[[#This Row],[IndConsumers]],ConsumerCounts[[#This Row],[AgriConsumers]])</f>
        <v>1242</v>
      </c>
    </row>
    <row r="12" spans="1:12" x14ac:dyDescent="0.35">
      <c r="A12" t="s">
        <v>39</v>
      </c>
      <c r="B12">
        <v>1131</v>
      </c>
      <c r="C12">
        <v>274</v>
      </c>
      <c r="D12">
        <v>74</v>
      </c>
      <c r="E12">
        <v>46</v>
      </c>
      <c r="F12">
        <f>SUM(ConsumerCounts[[#This Row],[ResConsumers]],ConsumerCounts[[#This Row],[ComConsumers]],ConsumerCounts[[#This Row],[IndConsumers]],ConsumerCounts[[#This Row],[AgriConsumers]])</f>
        <v>1525</v>
      </c>
    </row>
    <row r="13" spans="1:12" x14ac:dyDescent="0.35">
      <c r="A13" t="s">
        <v>41</v>
      </c>
      <c r="B13">
        <v>1080</v>
      </c>
      <c r="C13">
        <v>259</v>
      </c>
      <c r="D13">
        <v>77</v>
      </c>
      <c r="E13">
        <v>69</v>
      </c>
      <c r="F13">
        <f>SUM(ConsumerCounts[[#This Row],[ResConsumers]],ConsumerCounts[[#This Row],[ComConsumers]],ConsumerCounts[[#This Row],[IndConsumers]],ConsumerCounts[[#This Row],[AgriConsumers]])</f>
        <v>1485</v>
      </c>
    </row>
    <row r="14" spans="1:12" x14ac:dyDescent="0.35">
      <c r="A14" t="s">
        <v>43</v>
      </c>
      <c r="B14">
        <v>1027</v>
      </c>
      <c r="C14">
        <v>226</v>
      </c>
      <c r="D14">
        <v>70</v>
      </c>
      <c r="E14">
        <v>40</v>
      </c>
      <c r="F14">
        <f>SUM(ConsumerCounts[[#This Row],[ResConsumers]],ConsumerCounts[[#This Row],[ComConsumers]],ConsumerCounts[[#This Row],[IndConsumers]],ConsumerCounts[[#This Row],[AgriConsumers]])</f>
        <v>1363</v>
      </c>
    </row>
    <row r="15" spans="1:12" x14ac:dyDescent="0.35">
      <c r="A15" t="s">
        <v>46</v>
      </c>
      <c r="B15">
        <v>972</v>
      </c>
      <c r="C15">
        <v>150</v>
      </c>
      <c r="D15">
        <v>54</v>
      </c>
      <c r="E15">
        <v>46</v>
      </c>
      <c r="F15">
        <f>SUM(ConsumerCounts[[#This Row],[ResConsumers]],ConsumerCounts[[#This Row],[ComConsumers]],ConsumerCounts[[#This Row],[IndConsumers]],ConsumerCounts[[#This Row],[AgriConsumers]])</f>
        <v>1222</v>
      </c>
    </row>
    <row r="16" spans="1:12" x14ac:dyDescent="0.35">
      <c r="A16" t="s">
        <v>49</v>
      </c>
      <c r="B16">
        <v>1217</v>
      </c>
      <c r="C16">
        <v>177</v>
      </c>
      <c r="D16">
        <v>53</v>
      </c>
      <c r="E16">
        <v>55</v>
      </c>
      <c r="F16">
        <f>SUM(ConsumerCounts[[#This Row],[ResConsumers]],ConsumerCounts[[#This Row],[ComConsumers]],ConsumerCounts[[#This Row],[IndConsumers]],ConsumerCounts[[#This Row],[AgriConsumers]])</f>
        <v>1502</v>
      </c>
    </row>
    <row r="17" spans="1:6" x14ac:dyDescent="0.35">
      <c r="A17" t="s">
        <v>52</v>
      </c>
      <c r="B17">
        <v>1375</v>
      </c>
      <c r="C17">
        <v>237</v>
      </c>
      <c r="D17">
        <v>40</v>
      </c>
      <c r="E17">
        <v>25</v>
      </c>
      <c r="F17">
        <f>SUM(ConsumerCounts[[#This Row],[ResConsumers]],ConsumerCounts[[#This Row],[ComConsumers]],ConsumerCounts[[#This Row],[IndConsumers]],ConsumerCounts[[#This Row],[AgriConsumers]])</f>
        <v>1677</v>
      </c>
    </row>
    <row r="18" spans="1:6" x14ac:dyDescent="0.35">
      <c r="A18" t="s">
        <v>58</v>
      </c>
      <c r="B18">
        <v>1013</v>
      </c>
      <c r="C18">
        <v>191</v>
      </c>
      <c r="D18">
        <v>16</v>
      </c>
      <c r="E18">
        <v>51</v>
      </c>
      <c r="F18">
        <f>SUM(ConsumerCounts[[#This Row],[ResConsumers]],ConsumerCounts[[#This Row],[ComConsumers]],ConsumerCounts[[#This Row],[IndConsumers]],ConsumerCounts[[#This Row],[AgriConsumers]])</f>
        <v>1271</v>
      </c>
    </row>
    <row r="19" spans="1:6" x14ac:dyDescent="0.35">
      <c r="A19" t="s">
        <v>59</v>
      </c>
      <c r="B19">
        <v>735</v>
      </c>
      <c r="C19">
        <v>134</v>
      </c>
      <c r="D19">
        <v>23</v>
      </c>
      <c r="E19">
        <v>47</v>
      </c>
      <c r="F19">
        <f>SUM(ConsumerCounts[[#This Row],[ResConsumers]],ConsumerCounts[[#This Row],[ComConsumers]],ConsumerCounts[[#This Row],[IndConsumers]],ConsumerCounts[[#This Row],[AgriConsumers]])</f>
        <v>939</v>
      </c>
    </row>
    <row r="20" spans="1:6" x14ac:dyDescent="0.35">
      <c r="A20" t="s">
        <v>60</v>
      </c>
      <c r="B20">
        <v>1075</v>
      </c>
      <c r="C20">
        <v>139</v>
      </c>
      <c r="D20">
        <v>11</v>
      </c>
      <c r="E20">
        <v>73</v>
      </c>
      <c r="F20">
        <f>SUM(ConsumerCounts[[#This Row],[ResConsumers]],ConsumerCounts[[#This Row],[ComConsumers]],ConsumerCounts[[#This Row],[IndConsumers]],ConsumerCounts[[#This Row],[AgriConsumers]])</f>
        <v>1298</v>
      </c>
    </row>
    <row r="21" spans="1:6" x14ac:dyDescent="0.35">
      <c r="A21" t="s">
        <v>62</v>
      </c>
      <c r="B21">
        <v>1088</v>
      </c>
      <c r="C21">
        <v>129</v>
      </c>
      <c r="D21">
        <v>46</v>
      </c>
      <c r="E21">
        <v>49</v>
      </c>
      <c r="F21">
        <f>SUM(ConsumerCounts[[#This Row],[ResConsumers]],ConsumerCounts[[#This Row],[ComConsumers]],ConsumerCounts[[#This Row],[IndConsumers]],ConsumerCounts[[#This Row],[AgriConsumers]])</f>
        <v>1312</v>
      </c>
    </row>
    <row r="22" spans="1:6" x14ac:dyDescent="0.35">
      <c r="A22" t="s">
        <v>63</v>
      </c>
      <c r="B22">
        <v>1126</v>
      </c>
      <c r="C22">
        <v>112</v>
      </c>
      <c r="D22">
        <v>25</v>
      </c>
      <c r="E22">
        <v>51</v>
      </c>
      <c r="F22">
        <f>SUM(ConsumerCounts[[#This Row],[ResConsumers]],ConsumerCounts[[#This Row],[ComConsumers]],ConsumerCounts[[#This Row],[IndConsumers]],ConsumerCounts[[#This Row],[AgriConsumers]])</f>
        <v>1314</v>
      </c>
    </row>
    <row r="23" spans="1:6" x14ac:dyDescent="0.35">
      <c r="A23" t="s">
        <v>64</v>
      </c>
      <c r="B23">
        <v>1026</v>
      </c>
      <c r="C23">
        <v>206</v>
      </c>
      <c r="D23">
        <v>30</v>
      </c>
      <c r="E23">
        <v>98</v>
      </c>
      <c r="F23">
        <f>SUM(ConsumerCounts[[#This Row],[ResConsumers]],ConsumerCounts[[#This Row],[ComConsumers]],ConsumerCounts[[#This Row],[IndConsumers]],ConsumerCounts[[#This Row],[AgriConsumers]])</f>
        <v>1360</v>
      </c>
    </row>
    <row r="24" spans="1:6" x14ac:dyDescent="0.35">
      <c r="A24" t="s">
        <v>65</v>
      </c>
      <c r="B24">
        <v>792</v>
      </c>
      <c r="C24">
        <v>108</v>
      </c>
      <c r="D24">
        <v>19</v>
      </c>
      <c r="E24">
        <v>53</v>
      </c>
      <c r="F24">
        <f>SUM(ConsumerCounts[[#This Row],[ResConsumers]],ConsumerCounts[[#This Row],[ComConsumers]],ConsumerCounts[[#This Row],[IndConsumers]],ConsumerCounts[[#This Row],[AgriConsumers]])</f>
        <v>972</v>
      </c>
    </row>
    <row r="25" spans="1:6" x14ac:dyDescent="0.35">
      <c r="A25" t="s">
        <v>67</v>
      </c>
      <c r="B25">
        <v>993</v>
      </c>
      <c r="C25">
        <v>113</v>
      </c>
      <c r="D25">
        <v>49</v>
      </c>
      <c r="E25">
        <v>67</v>
      </c>
      <c r="F25">
        <f>SUM(ConsumerCounts[[#This Row],[ResConsumers]],ConsumerCounts[[#This Row],[ComConsumers]],ConsumerCounts[[#This Row],[IndConsumers]],ConsumerCounts[[#This Row],[AgriConsumers]])</f>
        <v>1222</v>
      </c>
    </row>
    <row r="26" spans="1:6" x14ac:dyDescent="0.35">
      <c r="A26" t="s">
        <v>68</v>
      </c>
      <c r="B26">
        <v>811</v>
      </c>
      <c r="C26">
        <v>115</v>
      </c>
      <c r="D26">
        <v>54</v>
      </c>
      <c r="E26">
        <v>82</v>
      </c>
      <c r="F26">
        <f>SUM(ConsumerCounts[[#This Row],[ResConsumers]],ConsumerCounts[[#This Row],[ComConsumers]],ConsumerCounts[[#This Row],[IndConsumers]],ConsumerCounts[[#This Row],[AgriConsumers]])</f>
        <v>1062</v>
      </c>
    </row>
    <row r="27" spans="1:6" x14ac:dyDescent="0.35">
      <c r="A27" t="s">
        <v>69</v>
      </c>
      <c r="B27">
        <v>980</v>
      </c>
      <c r="C27">
        <v>185</v>
      </c>
      <c r="D27">
        <v>11</v>
      </c>
      <c r="E27">
        <v>41</v>
      </c>
      <c r="F27">
        <f>SUM(ConsumerCounts[[#This Row],[ResConsumers]],ConsumerCounts[[#This Row],[ComConsumers]],ConsumerCounts[[#This Row],[IndConsumers]],ConsumerCounts[[#This Row],[AgriConsumers]])</f>
        <v>1217</v>
      </c>
    </row>
    <row r="28" spans="1:6" x14ac:dyDescent="0.35">
      <c r="A28" t="s">
        <v>70</v>
      </c>
      <c r="B28">
        <v>944</v>
      </c>
      <c r="C28">
        <v>160</v>
      </c>
      <c r="D28">
        <v>37</v>
      </c>
      <c r="E28">
        <v>48</v>
      </c>
      <c r="F28">
        <f>SUM(ConsumerCounts[[#This Row],[ResConsumers]],ConsumerCounts[[#This Row],[ComConsumers]],ConsumerCounts[[#This Row],[IndConsumers]],ConsumerCounts[[#This Row],[AgriConsumers]])</f>
        <v>1189</v>
      </c>
    </row>
    <row r="29" spans="1:6" x14ac:dyDescent="0.35">
      <c r="A29" t="s">
        <v>71</v>
      </c>
      <c r="B29">
        <v>1015</v>
      </c>
      <c r="C29">
        <v>217</v>
      </c>
      <c r="D29">
        <v>13</v>
      </c>
      <c r="E29">
        <v>75</v>
      </c>
      <c r="F29">
        <f>SUM(ConsumerCounts[[#This Row],[ResConsumers]],ConsumerCounts[[#This Row],[ComConsumers]],ConsumerCounts[[#This Row],[IndConsumers]],ConsumerCounts[[#This Row],[AgriConsumers]])</f>
        <v>1320</v>
      </c>
    </row>
    <row r="30" spans="1:6" x14ac:dyDescent="0.35">
      <c r="A30" t="s">
        <v>73</v>
      </c>
      <c r="B30">
        <v>321</v>
      </c>
      <c r="C30">
        <v>158</v>
      </c>
      <c r="D30">
        <v>112</v>
      </c>
      <c r="E30">
        <v>73</v>
      </c>
      <c r="F30">
        <f>SUM(ConsumerCounts[[#This Row],[ResConsumers]],ConsumerCounts[[#This Row],[ComConsumers]],ConsumerCounts[[#This Row],[IndConsumers]],ConsumerCounts[[#This Row],[AgriConsumers]])</f>
        <v>664</v>
      </c>
    </row>
    <row r="31" spans="1:6" x14ac:dyDescent="0.35">
      <c r="A31" t="s">
        <v>75</v>
      </c>
      <c r="B31">
        <v>533</v>
      </c>
      <c r="C31">
        <v>216</v>
      </c>
      <c r="D31">
        <v>100</v>
      </c>
      <c r="E31">
        <v>20</v>
      </c>
      <c r="F31">
        <f>SUM(ConsumerCounts[[#This Row],[ResConsumers]],ConsumerCounts[[#This Row],[ComConsumers]],ConsumerCounts[[#This Row],[IndConsumers]],ConsumerCounts[[#This Row],[AgriConsumers]])</f>
        <v>869</v>
      </c>
    </row>
    <row r="32" spans="1:6" x14ac:dyDescent="0.35">
      <c r="A32" t="s">
        <v>77</v>
      </c>
      <c r="B32">
        <v>549</v>
      </c>
      <c r="C32">
        <v>206</v>
      </c>
      <c r="D32">
        <v>67</v>
      </c>
      <c r="E32">
        <v>64</v>
      </c>
      <c r="F32">
        <f>SUM(ConsumerCounts[[#This Row],[ResConsumers]],ConsumerCounts[[#This Row],[ComConsumers]],ConsumerCounts[[#This Row],[IndConsumers]],ConsumerCounts[[#This Row],[AgriConsumers]])</f>
        <v>886</v>
      </c>
    </row>
    <row r="33" spans="1:6" x14ac:dyDescent="0.35">
      <c r="A33" t="s">
        <v>79</v>
      </c>
      <c r="B33">
        <v>407</v>
      </c>
      <c r="C33">
        <v>164</v>
      </c>
      <c r="D33">
        <v>85</v>
      </c>
      <c r="E33">
        <v>63</v>
      </c>
      <c r="F33">
        <f>SUM(ConsumerCounts[[#This Row],[ResConsumers]],ConsumerCounts[[#This Row],[ComConsumers]],ConsumerCounts[[#This Row],[IndConsumers]],ConsumerCounts[[#This Row],[AgriConsumers]])</f>
        <v>719</v>
      </c>
    </row>
    <row r="34" spans="1:6" x14ac:dyDescent="0.35">
      <c r="A34" t="s">
        <v>81</v>
      </c>
      <c r="B34">
        <v>213</v>
      </c>
      <c r="C34">
        <v>121</v>
      </c>
      <c r="D34">
        <v>74</v>
      </c>
      <c r="E34">
        <v>25</v>
      </c>
      <c r="F34">
        <f>SUM(ConsumerCounts[[#This Row],[ResConsumers]],ConsumerCounts[[#This Row],[ComConsumers]],ConsumerCounts[[#This Row],[IndConsumers]],ConsumerCounts[[#This Row],[AgriConsumers]])</f>
        <v>433</v>
      </c>
    </row>
    <row r="35" spans="1:6" x14ac:dyDescent="0.35">
      <c r="A35" t="s">
        <v>83</v>
      </c>
      <c r="B35">
        <v>417</v>
      </c>
      <c r="C35">
        <v>134</v>
      </c>
      <c r="D35">
        <v>128</v>
      </c>
      <c r="E35">
        <v>44</v>
      </c>
      <c r="F35">
        <f>SUM(ConsumerCounts[[#This Row],[ResConsumers]],ConsumerCounts[[#This Row],[ComConsumers]],ConsumerCounts[[#This Row],[IndConsumers]],ConsumerCounts[[#This Row],[AgriConsumers]])</f>
        <v>723</v>
      </c>
    </row>
    <row r="36" spans="1:6" x14ac:dyDescent="0.35">
      <c r="A36" t="s">
        <v>85</v>
      </c>
      <c r="B36">
        <v>456</v>
      </c>
      <c r="C36">
        <v>205</v>
      </c>
      <c r="D36">
        <v>86</v>
      </c>
      <c r="E36">
        <v>52</v>
      </c>
      <c r="F36">
        <f>SUM(ConsumerCounts[[#This Row],[ResConsumers]],ConsumerCounts[[#This Row],[ComConsumers]],ConsumerCounts[[#This Row],[IndConsumers]],ConsumerCounts[[#This Row],[AgriConsumers]])</f>
        <v>799</v>
      </c>
    </row>
    <row r="37" spans="1:6" x14ac:dyDescent="0.35">
      <c r="A37" t="s">
        <v>87</v>
      </c>
      <c r="B37">
        <v>269</v>
      </c>
      <c r="C37">
        <v>122</v>
      </c>
      <c r="D37">
        <v>123</v>
      </c>
      <c r="E37">
        <v>22</v>
      </c>
      <c r="F37">
        <f>SUM(ConsumerCounts[[#This Row],[ResConsumers]],ConsumerCounts[[#This Row],[ComConsumers]],ConsumerCounts[[#This Row],[IndConsumers]],ConsumerCounts[[#This Row],[AgriConsumers]])</f>
        <v>536</v>
      </c>
    </row>
    <row r="38" spans="1:6" x14ac:dyDescent="0.35">
      <c r="A38" t="s">
        <v>90</v>
      </c>
      <c r="B38">
        <v>216</v>
      </c>
      <c r="C38">
        <v>155</v>
      </c>
      <c r="D38">
        <v>102</v>
      </c>
      <c r="E38">
        <v>55</v>
      </c>
      <c r="F38">
        <f>SUM(ConsumerCounts[[#This Row],[ResConsumers]],ConsumerCounts[[#This Row],[ComConsumers]],ConsumerCounts[[#This Row],[IndConsumers]],ConsumerCounts[[#This Row],[AgriConsumers]])</f>
        <v>528</v>
      </c>
    </row>
    <row r="39" spans="1:6" x14ac:dyDescent="0.35">
      <c r="A39" t="s">
        <v>92</v>
      </c>
      <c r="B39">
        <v>380</v>
      </c>
      <c r="C39">
        <v>145</v>
      </c>
      <c r="D39">
        <v>98</v>
      </c>
      <c r="E39">
        <v>69</v>
      </c>
      <c r="F39">
        <f>SUM(ConsumerCounts[[#This Row],[ResConsumers]],ConsumerCounts[[#This Row],[ComConsumers]],ConsumerCounts[[#This Row],[IndConsumers]],ConsumerCounts[[#This Row],[AgriConsumers]])</f>
        <v>692</v>
      </c>
    </row>
    <row r="40" spans="1:6" x14ac:dyDescent="0.35">
      <c r="A40" t="s">
        <v>94</v>
      </c>
      <c r="B40">
        <v>510</v>
      </c>
      <c r="C40">
        <v>169</v>
      </c>
      <c r="D40">
        <v>81</v>
      </c>
      <c r="E40">
        <v>71</v>
      </c>
      <c r="F40">
        <f>SUM(ConsumerCounts[[#This Row],[ResConsumers]],ConsumerCounts[[#This Row],[ComConsumers]],ConsumerCounts[[#This Row],[IndConsumers]],ConsumerCounts[[#This Row],[AgriConsumers]])</f>
        <v>831</v>
      </c>
    </row>
    <row r="41" spans="1:6" x14ac:dyDescent="0.35">
      <c r="A41" t="s">
        <v>96</v>
      </c>
      <c r="B41">
        <v>277</v>
      </c>
      <c r="C41">
        <v>198</v>
      </c>
      <c r="D41">
        <v>90</v>
      </c>
      <c r="E41">
        <v>21</v>
      </c>
      <c r="F41">
        <f>SUM(ConsumerCounts[[#This Row],[ResConsumers]],ConsumerCounts[[#This Row],[ComConsumers]],ConsumerCounts[[#This Row],[IndConsumers]],ConsumerCounts[[#This Row],[AgriConsumers]])</f>
        <v>586</v>
      </c>
    </row>
    <row r="42" spans="1:6" x14ac:dyDescent="0.35">
      <c r="B42">
        <f>SUM(ConsumerCounts[ResConsumers])</f>
        <v>34632</v>
      </c>
      <c r="C42">
        <f>SUBTOTAL(109,ConsumerCounts[ComConsumers])</f>
        <v>7251</v>
      </c>
      <c r="D42">
        <f>SUBTOTAL(109,ConsumerCounts[IndConsumers])</f>
        <v>2362</v>
      </c>
      <c r="E42">
        <f>SUBTOTAL(109,ConsumerCounts[AgriConsumers])</f>
        <v>2017</v>
      </c>
      <c r="F42">
        <f>SUBTOTAL(109,ConsumerCounts[ConsumersConnected])</f>
        <v>46262</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81"/>
  <sheetViews>
    <sheetView zoomScale="65" workbookViewId="0">
      <selection activeCell="I12" sqref="I12"/>
    </sheetView>
  </sheetViews>
  <sheetFormatPr defaultRowHeight="14.5" x14ac:dyDescent="0.35"/>
  <cols>
    <col min="1" max="3" width="22" customWidth="1"/>
    <col min="9" max="9" width="13.54296875" bestFit="1" customWidth="1"/>
    <col min="10" max="11" width="11" bestFit="1" customWidth="1"/>
    <col min="14" max="14" width="15.453125" customWidth="1"/>
    <col min="15" max="15" width="13" customWidth="1"/>
    <col min="16" max="16" width="15.453125" customWidth="1"/>
  </cols>
  <sheetData>
    <row r="1" spans="1:18" x14ac:dyDescent="0.35">
      <c r="A1" s="1" t="s">
        <v>5</v>
      </c>
      <c r="B1" s="1" t="s">
        <v>111</v>
      </c>
      <c r="C1" s="1" t="s">
        <v>112</v>
      </c>
    </row>
    <row r="2" spans="1:18" ht="14.5" customHeight="1" x14ac:dyDescent="0.35">
      <c r="A2" t="s">
        <v>14</v>
      </c>
      <c r="B2" t="s">
        <v>113</v>
      </c>
      <c r="C2">
        <v>705515</v>
      </c>
      <c r="J2" s="17" t="s">
        <v>145</v>
      </c>
      <c r="K2" s="17"/>
      <c r="L2" s="17"/>
      <c r="M2" s="17"/>
      <c r="N2" s="17"/>
      <c r="O2" s="17"/>
      <c r="P2" s="17"/>
      <c r="Q2" s="17"/>
      <c r="R2" s="17"/>
    </row>
    <row r="3" spans="1:18" ht="14.5" customHeight="1" x14ac:dyDescent="0.35">
      <c r="A3" t="s">
        <v>14</v>
      </c>
      <c r="B3" t="s">
        <v>114</v>
      </c>
      <c r="C3">
        <v>723397</v>
      </c>
      <c r="J3" s="17"/>
      <c r="K3" s="17"/>
      <c r="L3" s="17"/>
      <c r="M3" s="17"/>
      <c r="N3" s="17"/>
      <c r="O3" s="17"/>
      <c r="P3" s="17"/>
      <c r="Q3" s="17"/>
      <c r="R3" s="17"/>
    </row>
    <row r="4" spans="1:18" x14ac:dyDescent="0.35">
      <c r="A4" t="s">
        <v>14</v>
      </c>
      <c r="B4" t="s">
        <v>115</v>
      </c>
      <c r="C4">
        <v>679743</v>
      </c>
      <c r="J4" s="3" t="s">
        <v>89</v>
      </c>
      <c r="K4" t="s">
        <v>116</v>
      </c>
    </row>
    <row r="5" spans="1:18" x14ac:dyDescent="0.35">
      <c r="A5" t="s">
        <v>14</v>
      </c>
      <c r="B5" t="s">
        <v>117</v>
      </c>
      <c r="C5">
        <v>661838</v>
      </c>
      <c r="J5" s="4" t="s">
        <v>118</v>
      </c>
      <c r="K5">
        <v>40010308</v>
      </c>
    </row>
    <row r="6" spans="1:18" x14ac:dyDescent="0.35">
      <c r="A6" t="s">
        <v>14</v>
      </c>
      <c r="B6" t="s">
        <v>119</v>
      </c>
      <c r="C6">
        <v>632147</v>
      </c>
      <c r="J6" s="4" t="s">
        <v>114</v>
      </c>
      <c r="K6">
        <v>41971928</v>
      </c>
    </row>
    <row r="7" spans="1:18" x14ac:dyDescent="0.35">
      <c r="A7" t="s">
        <v>14</v>
      </c>
      <c r="B7" t="s">
        <v>120</v>
      </c>
      <c r="C7">
        <v>610672</v>
      </c>
      <c r="J7" s="4" t="s">
        <v>120</v>
      </c>
      <c r="K7">
        <v>37035536</v>
      </c>
    </row>
    <row r="8" spans="1:18" x14ac:dyDescent="0.35">
      <c r="A8" t="s">
        <v>14</v>
      </c>
      <c r="B8" t="s">
        <v>121</v>
      </c>
      <c r="C8">
        <v>609273</v>
      </c>
      <c r="J8" s="4" t="s">
        <v>122</v>
      </c>
      <c r="K8">
        <v>37808057</v>
      </c>
    </row>
    <row r="9" spans="1:18" x14ac:dyDescent="0.35">
      <c r="A9" t="s">
        <v>14</v>
      </c>
      <c r="B9" t="s">
        <v>122</v>
      </c>
      <c r="C9">
        <v>619654</v>
      </c>
      <c r="J9" s="4" t="s">
        <v>121</v>
      </c>
      <c r="K9">
        <v>37278656</v>
      </c>
    </row>
    <row r="10" spans="1:18" x14ac:dyDescent="0.35">
      <c r="A10" t="s">
        <v>14</v>
      </c>
      <c r="B10" t="s">
        <v>123</v>
      </c>
      <c r="C10">
        <v>640433</v>
      </c>
      <c r="J10" s="4" t="s">
        <v>113</v>
      </c>
      <c r="K10">
        <v>41191009</v>
      </c>
    </row>
    <row r="11" spans="1:18" x14ac:dyDescent="0.35">
      <c r="A11" t="s">
        <v>14</v>
      </c>
      <c r="B11" t="s">
        <v>118</v>
      </c>
      <c r="C11">
        <v>664051</v>
      </c>
      <c r="J11" s="4" t="s">
        <v>124</v>
      </c>
      <c r="K11">
        <v>42213808</v>
      </c>
    </row>
    <row r="12" spans="1:18" x14ac:dyDescent="0.35">
      <c r="A12" t="s">
        <v>14</v>
      </c>
      <c r="B12" t="s">
        <v>125</v>
      </c>
      <c r="C12">
        <v>692325</v>
      </c>
      <c r="J12" s="4" t="s">
        <v>123</v>
      </c>
      <c r="K12">
        <v>38958409</v>
      </c>
    </row>
    <row r="13" spans="1:18" x14ac:dyDescent="0.35">
      <c r="A13" t="s">
        <v>14</v>
      </c>
      <c r="B13" t="s">
        <v>124</v>
      </c>
      <c r="C13">
        <v>715223</v>
      </c>
      <c r="J13" s="4" t="s">
        <v>125</v>
      </c>
      <c r="K13">
        <v>41230419</v>
      </c>
    </row>
    <row r="14" spans="1:18" x14ac:dyDescent="0.35">
      <c r="A14" t="s">
        <v>17</v>
      </c>
      <c r="B14" t="s">
        <v>113</v>
      </c>
      <c r="C14">
        <v>1089305</v>
      </c>
      <c r="J14" s="4" t="s">
        <v>119</v>
      </c>
      <c r="K14">
        <v>37977270</v>
      </c>
    </row>
    <row r="15" spans="1:18" x14ac:dyDescent="0.35">
      <c r="A15" t="s">
        <v>17</v>
      </c>
      <c r="B15" t="s">
        <v>114</v>
      </c>
      <c r="C15">
        <v>1112383</v>
      </c>
      <c r="J15" s="4" t="s">
        <v>117</v>
      </c>
      <c r="K15">
        <v>39282235</v>
      </c>
    </row>
    <row r="16" spans="1:18" x14ac:dyDescent="0.35">
      <c r="A16" t="s">
        <v>17</v>
      </c>
      <c r="B16" t="s">
        <v>115</v>
      </c>
      <c r="C16">
        <v>1056486</v>
      </c>
      <c r="J16" s="4" t="s">
        <v>115</v>
      </c>
      <c r="K16">
        <v>40115329</v>
      </c>
    </row>
    <row r="17" spans="1:16" x14ac:dyDescent="0.35">
      <c r="A17" t="s">
        <v>17</v>
      </c>
      <c r="B17" t="s">
        <v>117</v>
      </c>
      <c r="C17">
        <v>1032021</v>
      </c>
      <c r="J17" s="4" t="s">
        <v>98</v>
      </c>
      <c r="K17">
        <v>475072964</v>
      </c>
    </row>
    <row r="18" spans="1:16" x14ac:dyDescent="0.35">
      <c r="A18" t="s">
        <v>17</v>
      </c>
      <c r="B18" t="s">
        <v>119</v>
      </c>
      <c r="C18">
        <v>992777</v>
      </c>
    </row>
    <row r="19" spans="1:16" x14ac:dyDescent="0.35">
      <c r="A19" t="s">
        <v>17</v>
      </c>
      <c r="B19" t="s">
        <v>120</v>
      </c>
      <c r="C19">
        <v>964603</v>
      </c>
    </row>
    <row r="20" spans="1:16" x14ac:dyDescent="0.35">
      <c r="A20" t="s">
        <v>17</v>
      </c>
      <c r="B20" t="s">
        <v>121</v>
      </c>
      <c r="C20">
        <v>967716</v>
      </c>
    </row>
    <row r="21" spans="1:16" x14ac:dyDescent="0.35">
      <c r="A21" t="s">
        <v>17</v>
      </c>
      <c r="B21" t="s">
        <v>122</v>
      </c>
      <c r="C21">
        <v>982459</v>
      </c>
    </row>
    <row r="22" spans="1:16" x14ac:dyDescent="0.35">
      <c r="A22" t="s">
        <v>17</v>
      </c>
      <c r="B22" t="s">
        <v>123</v>
      </c>
      <c r="C22">
        <v>1015168</v>
      </c>
    </row>
    <row r="23" spans="1:16" x14ac:dyDescent="0.35">
      <c r="A23" t="s">
        <v>17</v>
      </c>
      <c r="B23" t="s">
        <v>118</v>
      </c>
      <c r="C23">
        <v>1046563</v>
      </c>
    </row>
    <row r="24" spans="1:16" x14ac:dyDescent="0.35">
      <c r="A24" t="s">
        <v>17</v>
      </c>
      <c r="B24" t="s">
        <v>125</v>
      </c>
      <c r="C24">
        <v>1083522</v>
      </c>
      <c r="L24" s="7" t="s">
        <v>111</v>
      </c>
      <c r="N24" s="8" t="s">
        <v>5</v>
      </c>
      <c r="O24" s="8" t="s">
        <v>111</v>
      </c>
      <c r="P24" s="8" t="s">
        <v>112</v>
      </c>
    </row>
    <row r="25" spans="1:16" x14ac:dyDescent="0.35">
      <c r="A25" t="s">
        <v>17</v>
      </c>
      <c r="B25" t="s">
        <v>124</v>
      </c>
      <c r="C25">
        <v>1113082</v>
      </c>
      <c r="L25" s="2" t="s">
        <v>115</v>
      </c>
      <c r="N25" s="9" t="str" cm="1">
        <f t="array" ref="N25:P64">_xlfn._xlws.FILTER(MonthlyConsumption[],MonthlyConsumption[Month]=L25,"Not Available data")</f>
        <v>FDR-001</v>
      </c>
      <c r="O25" s="9" t="str">
        <v>Sep-25</v>
      </c>
      <c r="P25" s="9">
        <v>679743</v>
      </c>
    </row>
    <row r="26" spans="1:16" x14ac:dyDescent="0.35">
      <c r="A26" t="s">
        <v>20</v>
      </c>
      <c r="B26" t="s">
        <v>113</v>
      </c>
      <c r="C26">
        <v>1187422</v>
      </c>
      <c r="N26" s="9" t="str">
        <v>FDR-002</v>
      </c>
      <c r="O26" s="9" t="str">
        <v>Sep-25</v>
      </c>
      <c r="P26" s="9">
        <v>1056486</v>
      </c>
    </row>
    <row r="27" spans="1:16" x14ac:dyDescent="0.35">
      <c r="A27" t="s">
        <v>20</v>
      </c>
      <c r="B27" t="s">
        <v>114</v>
      </c>
      <c r="C27">
        <v>1211198</v>
      </c>
      <c r="N27" s="9" t="str">
        <v>FDR-003</v>
      </c>
      <c r="O27" s="9" t="str">
        <v>Sep-25</v>
      </c>
      <c r="P27" s="9">
        <v>1152132</v>
      </c>
    </row>
    <row r="28" spans="1:16" x14ac:dyDescent="0.35">
      <c r="A28" t="s">
        <v>20</v>
      </c>
      <c r="B28" t="s">
        <v>115</v>
      </c>
      <c r="C28">
        <v>1152132</v>
      </c>
      <c r="N28" s="9" t="str">
        <v>FDR-004</v>
      </c>
      <c r="O28" s="9" t="str">
        <v>Sep-25</v>
      </c>
      <c r="P28" s="9">
        <v>1146702</v>
      </c>
    </row>
    <row r="29" spans="1:16" x14ac:dyDescent="0.35">
      <c r="A29" t="s">
        <v>20</v>
      </c>
      <c r="B29" t="s">
        <v>117</v>
      </c>
      <c r="C29">
        <v>1126506</v>
      </c>
      <c r="N29" s="9" t="str">
        <v>FDR-005</v>
      </c>
      <c r="O29" s="9" t="str">
        <v>Sep-25</v>
      </c>
      <c r="P29" s="9">
        <v>1146366</v>
      </c>
    </row>
    <row r="30" spans="1:16" x14ac:dyDescent="0.35">
      <c r="A30" t="s">
        <v>20</v>
      </c>
      <c r="B30" t="s">
        <v>119</v>
      </c>
      <c r="C30">
        <v>1088518</v>
      </c>
      <c r="N30" s="9" t="str">
        <v>FDR-006</v>
      </c>
      <c r="O30" s="9" t="str">
        <v>Sep-25</v>
      </c>
      <c r="P30" s="9">
        <v>1024563</v>
      </c>
    </row>
    <row r="31" spans="1:16" x14ac:dyDescent="0.35">
      <c r="A31" t="s">
        <v>20</v>
      </c>
      <c r="B31" t="s">
        <v>120</v>
      </c>
      <c r="C31">
        <v>1058990</v>
      </c>
      <c r="N31" s="9" t="str">
        <v>FDR-007</v>
      </c>
      <c r="O31" s="9" t="str">
        <v>Sep-25</v>
      </c>
      <c r="P31" s="9">
        <v>1027575</v>
      </c>
    </row>
    <row r="32" spans="1:16" x14ac:dyDescent="0.35">
      <c r="A32" t="s">
        <v>20</v>
      </c>
      <c r="B32" t="s">
        <v>121</v>
      </c>
      <c r="C32">
        <v>1064520</v>
      </c>
      <c r="N32" s="9" t="str">
        <v>FDR-008</v>
      </c>
      <c r="O32" s="9" t="str">
        <v>Sep-25</v>
      </c>
      <c r="P32" s="9">
        <v>858105</v>
      </c>
    </row>
    <row r="33" spans="1:16" x14ac:dyDescent="0.35">
      <c r="A33" t="s">
        <v>20</v>
      </c>
      <c r="B33" t="s">
        <v>122</v>
      </c>
      <c r="C33">
        <v>1079990</v>
      </c>
      <c r="N33" s="9" t="str">
        <v>FDR-009</v>
      </c>
      <c r="O33" s="9" t="str">
        <v>Sep-25</v>
      </c>
      <c r="P33" s="9">
        <v>649422</v>
      </c>
    </row>
    <row r="34" spans="1:16" x14ac:dyDescent="0.35">
      <c r="A34" t="s">
        <v>20</v>
      </c>
      <c r="B34" t="s">
        <v>123</v>
      </c>
      <c r="C34">
        <v>1108795</v>
      </c>
      <c r="N34" s="9" t="str">
        <v>FDR-010</v>
      </c>
      <c r="O34" s="9" t="str">
        <v>Sep-25</v>
      </c>
      <c r="P34" s="9">
        <v>805110</v>
      </c>
    </row>
    <row r="35" spans="1:16" x14ac:dyDescent="0.35">
      <c r="A35" t="s">
        <v>20</v>
      </c>
      <c r="B35" t="s">
        <v>118</v>
      </c>
      <c r="C35">
        <v>1140350</v>
      </c>
      <c r="N35" s="9" t="str">
        <v>FDR-011</v>
      </c>
      <c r="O35" s="9" t="str">
        <v>Sep-25</v>
      </c>
      <c r="P35" s="9">
        <v>1197621</v>
      </c>
    </row>
    <row r="36" spans="1:16" x14ac:dyDescent="0.35">
      <c r="A36" t="s">
        <v>20</v>
      </c>
      <c r="B36" t="s">
        <v>125</v>
      </c>
      <c r="C36">
        <v>1178172</v>
      </c>
      <c r="N36" s="9" t="str">
        <v>FDR-012</v>
      </c>
      <c r="O36" s="9" t="str">
        <v>Sep-25</v>
      </c>
      <c r="P36" s="9">
        <v>1249200</v>
      </c>
    </row>
    <row r="37" spans="1:16" x14ac:dyDescent="0.35">
      <c r="A37" t="s">
        <v>20</v>
      </c>
      <c r="B37" t="s">
        <v>124</v>
      </c>
      <c r="C37">
        <v>1208719</v>
      </c>
      <c r="N37" s="9" t="str">
        <v>FDR-013</v>
      </c>
      <c r="O37" s="9" t="str">
        <v>Sep-25</v>
      </c>
      <c r="P37" s="9">
        <v>1095117</v>
      </c>
    </row>
    <row r="38" spans="1:16" x14ac:dyDescent="0.35">
      <c r="A38" t="s">
        <v>23</v>
      </c>
      <c r="B38" t="s">
        <v>113</v>
      </c>
      <c r="C38">
        <v>1181962</v>
      </c>
      <c r="N38" s="9" t="str">
        <v>FDR-014</v>
      </c>
      <c r="O38" s="9" t="str">
        <v>Sep-25</v>
      </c>
      <c r="P38" s="9">
        <v>900972</v>
      </c>
    </row>
    <row r="39" spans="1:16" x14ac:dyDescent="0.35">
      <c r="A39" t="s">
        <v>23</v>
      </c>
      <c r="B39" t="s">
        <v>114</v>
      </c>
      <c r="C39">
        <v>1206782</v>
      </c>
      <c r="N39" s="9" t="str">
        <v>FDR-015</v>
      </c>
      <c r="O39" s="9" t="str">
        <v>Sep-25</v>
      </c>
      <c r="P39" s="9">
        <v>983307</v>
      </c>
    </row>
    <row r="40" spans="1:16" x14ac:dyDescent="0.35">
      <c r="A40" t="s">
        <v>23</v>
      </c>
      <c r="B40" t="s">
        <v>115</v>
      </c>
      <c r="C40">
        <v>1146702</v>
      </c>
      <c r="N40" s="9" t="str">
        <v>FDR-016</v>
      </c>
      <c r="O40" s="9" t="str">
        <v>Sep-25</v>
      </c>
      <c r="P40" s="9">
        <v>880035</v>
      </c>
    </row>
    <row r="41" spans="1:16" x14ac:dyDescent="0.35">
      <c r="A41" t="s">
        <v>23</v>
      </c>
      <c r="B41" t="s">
        <v>117</v>
      </c>
      <c r="C41">
        <v>1120698</v>
      </c>
      <c r="N41" s="9" t="str">
        <v>FDR-017</v>
      </c>
      <c r="O41" s="9" t="str">
        <v>Sep-25</v>
      </c>
      <c r="P41" s="9">
        <v>523900</v>
      </c>
    </row>
    <row r="42" spans="1:16" x14ac:dyDescent="0.35">
      <c r="A42" t="s">
        <v>23</v>
      </c>
      <c r="B42" t="s">
        <v>119</v>
      </c>
      <c r="C42">
        <v>1079584</v>
      </c>
      <c r="N42" s="9" t="str">
        <v>FDR-018</v>
      </c>
      <c r="O42" s="9" t="str">
        <v>Sep-25</v>
      </c>
      <c r="P42" s="9">
        <v>487254</v>
      </c>
    </row>
    <row r="43" spans="1:16" x14ac:dyDescent="0.35">
      <c r="A43" t="s">
        <v>23</v>
      </c>
      <c r="B43" t="s">
        <v>120</v>
      </c>
      <c r="C43">
        <v>1049498</v>
      </c>
      <c r="N43" s="9" t="str">
        <v>FDR-019</v>
      </c>
      <c r="O43" s="9" t="str">
        <v>Sep-25</v>
      </c>
      <c r="P43" s="9">
        <v>506104</v>
      </c>
    </row>
    <row r="44" spans="1:16" x14ac:dyDescent="0.35">
      <c r="A44" t="s">
        <v>23</v>
      </c>
      <c r="B44" t="s">
        <v>121</v>
      </c>
      <c r="C44">
        <v>1053486</v>
      </c>
      <c r="N44" s="9" t="str">
        <v>FDR-020</v>
      </c>
      <c r="O44" s="9" t="str">
        <v>Sep-25</v>
      </c>
      <c r="P44" s="9">
        <v>743778</v>
      </c>
    </row>
    <row r="45" spans="1:16" x14ac:dyDescent="0.35">
      <c r="A45" t="s">
        <v>23</v>
      </c>
      <c r="B45" t="s">
        <v>122</v>
      </c>
      <c r="C45">
        <v>1069352</v>
      </c>
      <c r="N45" s="9" t="str">
        <v>FDR-021</v>
      </c>
      <c r="O45" s="9" t="str">
        <v>Sep-25</v>
      </c>
      <c r="P45" s="9">
        <v>575860</v>
      </c>
    </row>
    <row r="46" spans="1:16" x14ac:dyDescent="0.35">
      <c r="A46" t="s">
        <v>23</v>
      </c>
      <c r="B46" t="s">
        <v>123</v>
      </c>
      <c r="C46">
        <v>1102183</v>
      </c>
      <c r="N46" s="9" t="str">
        <v>FDR-022</v>
      </c>
      <c r="O46" s="9" t="str">
        <v>Sep-25</v>
      </c>
      <c r="P46" s="9">
        <v>730504</v>
      </c>
    </row>
    <row r="47" spans="1:16" x14ac:dyDescent="0.35">
      <c r="A47" t="s">
        <v>23</v>
      </c>
      <c r="B47" t="s">
        <v>118</v>
      </c>
      <c r="C47">
        <v>1135346</v>
      </c>
      <c r="N47" s="9" t="str">
        <v>FDR-023</v>
      </c>
      <c r="O47" s="9" t="str">
        <v>Sep-25</v>
      </c>
      <c r="P47" s="9">
        <v>462584</v>
      </c>
    </row>
    <row r="48" spans="1:16" x14ac:dyDescent="0.35">
      <c r="A48" t="s">
        <v>23</v>
      </c>
      <c r="B48" t="s">
        <v>125</v>
      </c>
      <c r="C48">
        <v>1174476</v>
      </c>
      <c r="N48" s="9" t="str">
        <v>FDR-024</v>
      </c>
      <c r="O48" s="9" t="str">
        <v>Sep-25</v>
      </c>
      <c r="P48" s="9">
        <v>772152</v>
      </c>
    </row>
    <row r="49" spans="1:16" x14ac:dyDescent="0.35">
      <c r="A49" t="s">
        <v>23</v>
      </c>
      <c r="B49" t="s">
        <v>124</v>
      </c>
      <c r="C49">
        <v>1206055</v>
      </c>
      <c r="N49" s="9" t="str">
        <v>FDR-025</v>
      </c>
      <c r="O49" s="9" t="str">
        <v>Sep-25</v>
      </c>
      <c r="P49" s="9">
        <v>804008</v>
      </c>
    </row>
    <row r="50" spans="1:16" x14ac:dyDescent="0.35">
      <c r="A50" t="s">
        <v>26</v>
      </c>
      <c r="B50" t="s">
        <v>113</v>
      </c>
      <c r="C50">
        <v>1180037</v>
      </c>
      <c r="N50" s="9" t="str">
        <v>FDR-026</v>
      </c>
      <c r="O50" s="9" t="str">
        <v>Sep-25</v>
      </c>
      <c r="P50" s="9">
        <v>456090</v>
      </c>
    </row>
    <row r="51" spans="1:16" x14ac:dyDescent="0.35">
      <c r="A51" t="s">
        <v>26</v>
      </c>
      <c r="B51" t="s">
        <v>114</v>
      </c>
      <c r="C51">
        <v>1203691</v>
      </c>
      <c r="N51" s="9" t="str">
        <v>FDR-027</v>
      </c>
      <c r="O51" s="9" t="str">
        <v>Sep-25</v>
      </c>
      <c r="P51" s="9">
        <v>657712</v>
      </c>
    </row>
    <row r="52" spans="1:16" x14ac:dyDescent="0.35">
      <c r="A52" t="s">
        <v>26</v>
      </c>
      <c r="B52" t="s">
        <v>115</v>
      </c>
      <c r="C52">
        <v>1146366</v>
      </c>
      <c r="N52" s="9" t="str">
        <v>FDR-028</v>
      </c>
      <c r="O52" s="9" t="str">
        <v>Sep-25</v>
      </c>
      <c r="P52" s="9">
        <v>556492</v>
      </c>
    </row>
    <row r="53" spans="1:16" x14ac:dyDescent="0.35">
      <c r="A53" t="s">
        <v>26</v>
      </c>
      <c r="B53" t="s">
        <v>117</v>
      </c>
      <c r="C53">
        <v>1121784</v>
      </c>
      <c r="N53" s="9" t="str">
        <v>FDR-029</v>
      </c>
      <c r="O53" s="9" t="str">
        <v>Sep-25</v>
      </c>
      <c r="P53" s="9">
        <v>1646668</v>
      </c>
    </row>
    <row r="54" spans="1:16" x14ac:dyDescent="0.35">
      <c r="A54" t="s">
        <v>26</v>
      </c>
      <c r="B54" t="s">
        <v>119</v>
      </c>
      <c r="C54">
        <v>1084463</v>
      </c>
      <c r="N54" s="9" t="str">
        <v>FDR-030</v>
      </c>
      <c r="O54" s="9" t="str">
        <v>Sep-25</v>
      </c>
      <c r="P54" s="9">
        <v>1474752</v>
      </c>
    </row>
    <row r="55" spans="1:16" x14ac:dyDescent="0.35">
      <c r="A55" t="s">
        <v>26</v>
      </c>
      <c r="B55" t="s">
        <v>120</v>
      </c>
      <c r="C55">
        <v>1055983</v>
      </c>
      <c r="N55" s="9" t="str">
        <v>FDR-031</v>
      </c>
      <c r="O55" s="9" t="str">
        <v>Sep-25</v>
      </c>
      <c r="P55" s="9">
        <v>1153798</v>
      </c>
    </row>
    <row r="56" spans="1:16" x14ac:dyDescent="0.35">
      <c r="A56" t="s">
        <v>26</v>
      </c>
      <c r="B56" t="s">
        <v>121</v>
      </c>
      <c r="C56">
        <v>1061874</v>
      </c>
      <c r="N56" s="9" t="str">
        <v>FDR-032</v>
      </c>
      <c r="O56" s="9" t="str">
        <v>Sep-25</v>
      </c>
      <c r="P56" s="9">
        <v>1319518</v>
      </c>
    </row>
    <row r="57" spans="1:16" x14ac:dyDescent="0.35">
      <c r="A57" t="s">
        <v>26</v>
      </c>
      <c r="B57" t="s">
        <v>122</v>
      </c>
      <c r="C57">
        <v>1077265</v>
      </c>
      <c r="N57" s="9" t="str">
        <v>FDR-033</v>
      </c>
      <c r="O57" s="9" t="str">
        <v>Sep-25</v>
      </c>
      <c r="P57" s="9">
        <v>1054807</v>
      </c>
    </row>
    <row r="58" spans="1:16" x14ac:dyDescent="0.35">
      <c r="A58" t="s">
        <v>26</v>
      </c>
      <c r="B58" t="s">
        <v>123</v>
      </c>
      <c r="C58">
        <v>1105234</v>
      </c>
      <c r="N58" s="9" t="str">
        <v>FDR-034</v>
      </c>
      <c r="O58" s="9" t="str">
        <v>Sep-25</v>
      </c>
      <c r="P58" s="9">
        <v>1788638</v>
      </c>
    </row>
    <row r="59" spans="1:16" x14ac:dyDescent="0.35">
      <c r="A59" t="s">
        <v>26</v>
      </c>
      <c r="B59" t="s">
        <v>118</v>
      </c>
      <c r="C59">
        <v>1135951</v>
      </c>
      <c r="N59" s="9" t="str">
        <v>FDR-035</v>
      </c>
      <c r="O59" s="9" t="str">
        <v>Sep-25</v>
      </c>
      <c r="P59" s="9">
        <v>1344661</v>
      </c>
    </row>
    <row r="60" spans="1:16" x14ac:dyDescent="0.35">
      <c r="A60" t="s">
        <v>26</v>
      </c>
      <c r="B60" t="s">
        <v>125</v>
      </c>
      <c r="C60">
        <v>1172328</v>
      </c>
      <c r="N60" s="9" t="str">
        <v>FDR-036</v>
      </c>
      <c r="O60" s="9" t="str">
        <v>Sep-25</v>
      </c>
      <c r="P60" s="9">
        <v>1653542</v>
      </c>
    </row>
    <row r="61" spans="1:16" x14ac:dyDescent="0.35">
      <c r="A61" t="s">
        <v>26</v>
      </c>
      <c r="B61" t="s">
        <v>124</v>
      </c>
      <c r="C61">
        <v>1202110</v>
      </c>
      <c r="N61" s="9" t="str">
        <v>FDR-037</v>
      </c>
      <c r="O61" s="9" t="str">
        <v>Sep-25</v>
      </c>
      <c r="P61" s="9">
        <v>1471501</v>
      </c>
    </row>
    <row r="62" spans="1:16" x14ac:dyDescent="0.35">
      <c r="A62" t="s">
        <v>28</v>
      </c>
      <c r="B62" t="s">
        <v>113</v>
      </c>
      <c r="C62">
        <v>1060301</v>
      </c>
      <c r="N62" s="9" t="str">
        <v>FDR-038</v>
      </c>
      <c r="O62" s="9" t="str">
        <v>Sep-25</v>
      </c>
      <c r="P62" s="9">
        <v>1471975</v>
      </c>
    </row>
    <row r="63" spans="1:16" x14ac:dyDescent="0.35">
      <c r="A63" t="s">
        <v>28</v>
      </c>
      <c r="B63" t="s">
        <v>114</v>
      </c>
      <c r="C63">
        <v>1084261</v>
      </c>
      <c r="N63" s="9" t="str">
        <v>FDR-039</v>
      </c>
      <c r="O63" s="9" t="str">
        <v>Sep-25</v>
      </c>
      <c r="P63" s="9">
        <v>1307171</v>
      </c>
    </row>
    <row r="64" spans="1:16" x14ac:dyDescent="0.35">
      <c r="A64" t="s">
        <v>28</v>
      </c>
      <c r="B64" t="s">
        <v>115</v>
      </c>
      <c r="C64">
        <v>1024563</v>
      </c>
      <c r="N64" s="9" t="str">
        <v>FDR-040</v>
      </c>
      <c r="O64" s="9" t="str">
        <v>Sep-25</v>
      </c>
      <c r="P64" s="9">
        <v>1299404</v>
      </c>
    </row>
    <row r="65" spans="1:3" x14ac:dyDescent="0.35">
      <c r="A65" t="s">
        <v>28</v>
      </c>
      <c r="B65" t="s">
        <v>117</v>
      </c>
      <c r="C65">
        <v>997984</v>
      </c>
    </row>
    <row r="66" spans="1:3" x14ac:dyDescent="0.35">
      <c r="A66" t="s">
        <v>28</v>
      </c>
      <c r="B66" t="s">
        <v>119</v>
      </c>
      <c r="C66">
        <v>954779</v>
      </c>
    </row>
    <row r="67" spans="1:3" x14ac:dyDescent="0.35">
      <c r="A67" t="s">
        <v>28</v>
      </c>
      <c r="B67" t="s">
        <v>120</v>
      </c>
      <c r="C67">
        <v>924304</v>
      </c>
    </row>
    <row r="68" spans="1:3" x14ac:dyDescent="0.35">
      <c r="A68" t="s">
        <v>28</v>
      </c>
      <c r="B68" t="s">
        <v>121</v>
      </c>
      <c r="C68">
        <v>924435</v>
      </c>
    </row>
    <row r="69" spans="1:3" x14ac:dyDescent="0.35">
      <c r="A69" t="s">
        <v>28</v>
      </c>
      <c r="B69" t="s">
        <v>122</v>
      </c>
      <c r="C69">
        <v>939340</v>
      </c>
    </row>
    <row r="70" spans="1:3" x14ac:dyDescent="0.35">
      <c r="A70" t="s">
        <v>28</v>
      </c>
      <c r="B70" t="s">
        <v>123</v>
      </c>
      <c r="C70">
        <v>977153</v>
      </c>
    </row>
    <row r="71" spans="1:3" x14ac:dyDescent="0.35">
      <c r="A71" t="s">
        <v>28</v>
      </c>
      <c r="B71" t="s">
        <v>118</v>
      </c>
      <c r="C71">
        <v>1011415</v>
      </c>
    </row>
    <row r="72" spans="1:3" x14ac:dyDescent="0.35">
      <c r="A72" t="s">
        <v>28</v>
      </c>
      <c r="B72" t="s">
        <v>125</v>
      </c>
      <c r="C72">
        <v>1052199</v>
      </c>
    </row>
    <row r="73" spans="1:3" x14ac:dyDescent="0.35">
      <c r="A73" t="s">
        <v>28</v>
      </c>
      <c r="B73" t="s">
        <v>124</v>
      </c>
      <c r="C73">
        <v>1083941</v>
      </c>
    </row>
    <row r="74" spans="1:3" x14ac:dyDescent="0.35">
      <c r="A74" t="s">
        <v>30</v>
      </c>
      <c r="B74" t="s">
        <v>113</v>
      </c>
      <c r="C74">
        <v>1061217</v>
      </c>
    </row>
    <row r="75" spans="1:3" x14ac:dyDescent="0.35">
      <c r="A75" t="s">
        <v>30</v>
      </c>
      <c r="B75" t="s">
        <v>114</v>
      </c>
      <c r="C75">
        <v>1084263</v>
      </c>
    </row>
    <row r="76" spans="1:3" x14ac:dyDescent="0.35">
      <c r="A76" t="s">
        <v>30</v>
      </c>
      <c r="B76" t="s">
        <v>115</v>
      </c>
      <c r="C76">
        <v>1027575</v>
      </c>
    </row>
    <row r="77" spans="1:3" x14ac:dyDescent="0.35">
      <c r="A77" t="s">
        <v>30</v>
      </c>
      <c r="B77" t="s">
        <v>117</v>
      </c>
      <c r="C77">
        <v>1002476</v>
      </c>
    </row>
    <row r="78" spans="1:3" x14ac:dyDescent="0.35">
      <c r="A78" t="s">
        <v>30</v>
      </c>
      <c r="B78" t="s">
        <v>119</v>
      </c>
      <c r="C78">
        <v>962061</v>
      </c>
    </row>
    <row r="79" spans="1:3" x14ac:dyDescent="0.35">
      <c r="A79" t="s">
        <v>30</v>
      </c>
      <c r="B79" t="s">
        <v>120</v>
      </c>
      <c r="C79">
        <v>933270</v>
      </c>
    </row>
    <row r="80" spans="1:3" x14ac:dyDescent="0.35">
      <c r="A80" t="s">
        <v>30</v>
      </c>
      <c r="B80" t="s">
        <v>121</v>
      </c>
      <c r="C80">
        <v>935073</v>
      </c>
    </row>
    <row r="81" spans="1:3" x14ac:dyDescent="0.35">
      <c r="A81" t="s">
        <v>30</v>
      </c>
      <c r="B81" t="s">
        <v>122</v>
      </c>
      <c r="C81">
        <v>949656</v>
      </c>
    </row>
    <row r="82" spans="1:3" x14ac:dyDescent="0.35">
      <c r="A82" t="s">
        <v>30</v>
      </c>
      <c r="B82" t="s">
        <v>123</v>
      </c>
      <c r="C82">
        <v>984396</v>
      </c>
    </row>
    <row r="83" spans="1:3" x14ac:dyDescent="0.35">
      <c r="A83" t="s">
        <v>30</v>
      </c>
      <c r="B83" t="s">
        <v>118</v>
      </c>
      <c r="C83">
        <v>1016613</v>
      </c>
    </row>
    <row r="84" spans="1:3" x14ac:dyDescent="0.35">
      <c r="A84" t="s">
        <v>30</v>
      </c>
      <c r="B84" t="s">
        <v>125</v>
      </c>
      <c r="C84">
        <v>1054761</v>
      </c>
    </row>
    <row r="85" spans="1:3" x14ac:dyDescent="0.35">
      <c r="A85" t="s">
        <v>30</v>
      </c>
      <c r="B85" t="s">
        <v>124</v>
      </c>
      <c r="C85">
        <v>1084818</v>
      </c>
    </row>
    <row r="86" spans="1:3" x14ac:dyDescent="0.35">
      <c r="A86" t="s">
        <v>32</v>
      </c>
      <c r="B86" t="s">
        <v>113</v>
      </c>
      <c r="C86">
        <v>890613</v>
      </c>
    </row>
    <row r="87" spans="1:3" x14ac:dyDescent="0.35">
      <c r="A87" t="s">
        <v>32</v>
      </c>
      <c r="B87" t="s">
        <v>114</v>
      </c>
      <c r="C87">
        <v>912315</v>
      </c>
    </row>
    <row r="88" spans="1:3" x14ac:dyDescent="0.35">
      <c r="A88" t="s">
        <v>32</v>
      </c>
      <c r="B88" t="s">
        <v>115</v>
      </c>
      <c r="C88">
        <v>858105</v>
      </c>
    </row>
    <row r="89" spans="1:3" x14ac:dyDescent="0.35">
      <c r="A89" t="s">
        <v>32</v>
      </c>
      <c r="B89" t="s">
        <v>117</v>
      </c>
      <c r="C89">
        <v>834784</v>
      </c>
    </row>
    <row r="90" spans="1:3" x14ac:dyDescent="0.35">
      <c r="A90" t="s">
        <v>32</v>
      </c>
      <c r="B90" t="s">
        <v>119</v>
      </c>
      <c r="C90">
        <v>796629</v>
      </c>
    </row>
    <row r="91" spans="1:3" x14ac:dyDescent="0.35">
      <c r="A91" t="s">
        <v>32</v>
      </c>
      <c r="B91" t="s">
        <v>120</v>
      </c>
      <c r="C91">
        <v>769350</v>
      </c>
    </row>
    <row r="92" spans="1:3" x14ac:dyDescent="0.35">
      <c r="A92" t="s">
        <v>32</v>
      </c>
      <c r="B92" t="s">
        <v>121</v>
      </c>
      <c r="C92">
        <v>767745</v>
      </c>
    </row>
    <row r="93" spans="1:3" x14ac:dyDescent="0.35">
      <c r="A93" t="s">
        <v>32</v>
      </c>
      <c r="B93" t="s">
        <v>122</v>
      </c>
      <c r="C93">
        <v>780684</v>
      </c>
    </row>
    <row r="94" spans="1:3" x14ac:dyDescent="0.35">
      <c r="A94" t="s">
        <v>32</v>
      </c>
      <c r="B94" t="s">
        <v>123</v>
      </c>
      <c r="C94">
        <v>811194</v>
      </c>
    </row>
    <row r="95" spans="1:3" x14ac:dyDescent="0.35">
      <c r="A95" t="s">
        <v>32</v>
      </c>
      <c r="B95" t="s">
        <v>118</v>
      </c>
      <c r="C95">
        <v>841509</v>
      </c>
    </row>
    <row r="96" spans="1:3" x14ac:dyDescent="0.35">
      <c r="A96" t="s">
        <v>32</v>
      </c>
      <c r="B96" t="s">
        <v>125</v>
      </c>
      <c r="C96">
        <v>877899</v>
      </c>
    </row>
    <row r="97" spans="1:3" x14ac:dyDescent="0.35">
      <c r="A97" t="s">
        <v>32</v>
      </c>
      <c r="B97" t="s">
        <v>124</v>
      </c>
      <c r="C97">
        <v>906522</v>
      </c>
    </row>
    <row r="98" spans="1:3" x14ac:dyDescent="0.35">
      <c r="A98" t="s">
        <v>35</v>
      </c>
      <c r="B98" t="s">
        <v>113</v>
      </c>
      <c r="C98">
        <v>676786</v>
      </c>
    </row>
    <row r="99" spans="1:3" x14ac:dyDescent="0.35">
      <c r="A99" t="s">
        <v>35</v>
      </c>
      <c r="B99" t="s">
        <v>114</v>
      </c>
      <c r="C99">
        <v>694550</v>
      </c>
    </row>
    <row r="100" spans="1:3" x14ac:dyDescent="0.35">
      <c r="A100" t="s">
        <v>35</v>
      </c>
      <c r="B100" t="s">
        <v>115</v>
      </c>
      <c r="C100">
        <v>649422</v>
      </c>
    </row>
    <row r="101" spans="1:3" x14ac:dyDescent="0.35">
      <c r="A101" t="s">
        <v>35</v>
      </c>
      <c r="B101" t="s">
        <v>117</v>
      </c>
      <c r="C101">
        <v>630024</v>
      </c>
    </row>
    <row r="102" spans="1:3" x14ac:dyDescent="0.35">
      <c r="A102" t="s">
        <v>35</v>
      </c>
      <c r="B102" t="s">
        <v>119</v>
      </c>
      <c r="C102">
        <v>597916</v>
      </c>
    </row>
    <row r="103" spans="1:3" x14ac:dyDescent="0.35">
      <c r="A103" t="s">
        <v>35</v>
      </c>
      <c r="B103" t="s">
        <v>120</v>
      </c>
      <c r="C103">
        <v>575138</v>
      </c>
    </row>
    <row r="104" spans="1:3" x14ac:dyDescent="0.35">
      <c r="A104" t="s">
        <v>35</v>
      </c>
      <c r="B104" t="s">
        <v>121</v>
      </c>
      <c r="C104">
        <v>571914</v>
      </c>
    </row>
    <row r="105" spans="1:3" x14ac:dyDescent="0.35">
      <c r="A105" t="s">
        <v>35</v>
      </c>
      <c r="B105" t="s">
        <v>122</v>
      </c>
      <c r="C105">
        <v>582164</v>
      </c>
    </row>
    <row r="106" spans="1:3" x14ac:dyDescent="0.35">
      <c r="A106" t="s">
        <v>35</v>
      </c>
      <c r="B106" t="s">
        <v>123</v>
      </c>
      <c r="C106">
        <v>607915</v>
      </c>
    </row>
    <row r="107" spans="1:3" x14ac:dyDescent="0.35">
      <c r="A107" t="s">
        <v>35</v>
      </c>
      <c r="B107" t="s">
        <v>118</v>
      </c>
      <c r="C107">
        <v>633290</v>
      </c>
    </row>
    <row r="108" spans="1:3" x14ac:dyDescent="0.35">
      <c r="A108" t="s">
        <v>35</v>
      </c>
      <c r="B108" t="s">
        <v>125</v>
      </c>
      <c r="C108">
        <v>664008</v>
      </c>
    </row>
    <row r="109" spans="1:3" x14ac:dyDescent="0.35">
      <c r="A109" t="s">
        <v>35</v>
      </c>
      <c r="B109" t="s">
        <v>124</v>
      </c>
      <c r="C109">
        <v>687871</v>
      </c>
    </row>
    <row r="110" spans="1:3" x14ac:dyDescent="0.35">
      <c r="A110" t="s">
        <v>37</v>
      </c>
      <c r="B110" t="s">
        <v>113</v>
      </c>
      <c r="C110">
        <v>831846</v>
      </c>
    </row>
    <row r="111" spans="1:3" x14ac:dyDescent="0.35">
      <c r="A111" t="s">
        <v>37</v>
      </c>
      <c r="B111" t="s">
        <v>114</v>
      </c>
      <c r="C111">
        <v>850380</v>
      </c>
    </row>
    <row r="112" spans="1:3" x14ac:dyDescent="0.35">
      <c r="A112" t="s">
        <v>37</v>
      </c>
      <c r="B112" t="s">
        <v>115</v>
      </c>
      <c r="C112">
        <v>805110</v>
      </c>
    </row>
    <row r="113" spans="1:3" x14ac:dyDescent="0.35">
      <c r="A113" t="s">
        <v>37</v>
      </c>
      <c r="B113" t="s">
        <v>117</v>
      </c>
      <c r="C113">
        <v>785655</v>
      </c>
    </row>
    <row r="114" spans="1:3" x14ac:dyDescent="0.35">
      <c r="A114" t="s">
        <v>37</v>
      </c>
      <c r="B114" t="s">
        <v>119</v>
      </c>
      <c r="C114">
        <v>754386</v>
      </c>
    </row>
    <row r="115" spans="1:3" x14ac:dyDescent="0.35">
      <c r="A115" t="s">
        <v>37</v>
      </c>
      <c r="B115" t="s">
        <v>120</v>
      </c>
      <c r="C115">
        <v>731724</v>
      </c>
    </row>
    <row r="116" spans="1:3" x14ac:dyDescent="0.35">
      <c r="A116" t="s">
        <v>37</v>
      </c>
      <c r="B116" t="s">
        <v>121</v>
      </c>
      <c r="C116">
        <v>732996</v>
      </c>
    </row>
    <row r="117" spans="1:3" x14ac:dyDescent="0.35">
      <c r="A117" t="s">
        <v>37</v>
      </c>
      <c r="B117" t="s">
        <v>122</v>
      </c>
      <c r="C117">
        <v>744504</v>
      </c>
    </row>
    <row r="118" spans="1:3" x14ac:dyDescent="0.35">
      <c r="A118" t="s">
        <v>37</v>
      </c>
      <c r="B118" t="s">
        <v>123</v>
      </c>
      <c r="C118">
        <v>769212</v>
      </c>
    </row>
    <row r="119" spans="1:3" x14ac:dyDescent="0.35">
      <c r="A119" t="s">
        <v>37</v>
      </c>
      <c r="B119" t="s">
        <v>118</v>
      </c>
      <c r="C119">
        <v>794268</v>
      </c>
    </row>
    <row r="120" spans="1:3" x14ac:dyDescent="0.35">
      <c r="A120" t="s">
        <v>37</v>
      </c>
      <c r="B120" t="s">
        <v>125</v>
      </c>
      <c r="C120">
        <v>824010</v>
      </c>
    </row>
    <row r="121" spans="1:3" x14ac:dyDescent="0.35">
      <c r="A121" t="s">
        <v>37</v>
      </c>
      <c r="B121" t="s">
        <v>124</v>
      </c>
      <c r="C121">
        <v>847842</v>
      </c>
    </row>
    <row r="122" spans="1:3" x14ac:dyDescent="0.35">
      <c r="A122" t="s">
        <v>39</v>
      </c>
      <c r="B122" t="s">
        <v>113</v>
      </c>
      <c r="C122">
        <v>1232354</v>
      </c>
    </row>
    <row r="123" spans="1:3" x14ac:dyDescent="0.35">
      <c r="A123" t="s">
        <v>39</v>
      </c>
      <c r="B123" t="s">
        <v>114</v>
      </c>
      <c r="C123">
        <v>1257574</v>
      </c>
    </row>
    <row r="124" spans="1:3" x14ac:dyDescent="0.35">
      <c r="A124" t="s">
        <v>39</v>
      </c>
      <c r="B124" t="s">
        <v>115</v>
      </c>
      <c r="C124">
        <v>1197621</v>
      </c>
    </row>
    <row r="125" spans="1:3" x14ac:dyDescent="0.35">
      <c r="A125" t="s">
        <v>39</v>
      </c>
      <c r="B125" t="s">
        <v>117</v>
      </c>
      <c r="C125">
        <v>1171658</v>
      </c>
    </row>
    <row r="126" spans="1:3" x14ac:dyDescent="0.35">
      <c r="A126" t="s">
        <v>39</v>
      </c>
      <c r="B126" t="s">
        <v>119</v>
      </c>
      <c r="C126">
        <v>1130228</v>
      </c>
    </row>
    <row r="127" spans="1:3" x14ac:dyDescent="0.35">
      <c r="A127" t="s">
        <v>39</v>
      </c>
      <c r="B127" t="s">
        <v>120</v>
      </c>
      <c r="C127">
        <v>1100245</v>
      </c>
    </row>
    <row r="128" spans="1:3" x14ac:dyDescent="0.35">
      <c r="A128" t="s">
        <v>39</v>
      </c>
      <c r="B128" t="s">
        <v>121</v>
      </c>
      <c r="C128">
        <v>1105515</v>
      </c>
    </row>
    <row r="129" spans="1:3" x14ac:dyDescent="0.35">
      <c r="A129" t="s">
        <v>39</v>
      </c>
      <c r="B129" t="s">
        <v>122</v>
      </c>
      <c r="C129">
        <v>1121869</v>
      </c>
    </row>
    <row r="130" spans="1:3" x14ac:dyDescent="0.35">
      <c r="A130" t="s">
        <v>39</v>
      </c>
      <c r="B130" t="s">
        <v>123</v>
      </c>
      <c r="C130">
        <v>1155382</v>
      </c>
    </row>
    <row r="131" spans="1:3" x14ac:dyDescent="0.35">
      <c r="A131" t="s">
        <v>39</v>
      </c>
      <c r="B131" t="s">
        <v>118</v>
      </c>
      <c r="C131">
        <v>1188664</v>
      </c>
    </row>
    <row r="132" spans="1:3" x14ac:dyDescent="0.35">
      <c r="A132" t="s">
        <v>39</v>
      </c>
      <c r="B132" t="s">
        <v>125</v>
      </c>
      <c r="C132">
        <v>1227525</v>
      </c>
    </row>
    <row r="133" spans="1:3" x14ac:dyDescent="0.35">
      <c r="A133" t="s">
        <v>39</v>
      </c>
      <c r="B133" t="s">
        <v>124</v>
      </c>
      <c r="C133">
        <v>1259152</v>
      </c>
    </row>
    <row r="134" spans="1:3" x14ac:dyDescent="0.35">
      <c r="A134" t="s">
        <v>41</v>
      </c>
      <c r="B134" t="s">
        <v>113</v>
      </c>
      <c r="C134">
        <v>1285146</v>
      </c>
    </row>
    <row r="135" spans="1:3" x14ac:dyDescent="0.35">
      <c r="A135" t="s">
        <v>41</v>
      </c>
      <c r="B135" t="s">
        <v>114</v>
      </c>
      <c r="C135">
        <v>1311090</v>
      </c>
    </row>
    <row r="136" spans="1:3" x14ac:dyDescent="0.35">
      <c r="A136" t="s">
        <v>41</v>
      </c>
      <c r="B136" t="s">
        <v>115</v>
      </c>
      <c r="C136">
        <v>1249200</v>
      </c>
    </row>
    <row r="137" spans="1:3" x14ac:dyDescent="0.35">
      <c r="A137" t="s">
        <v>41</v>
      </c>
      <c r="B137" t="s">
        <v>117</v>
      </c>
      <c r="C137">
        <v>1221612</v>
      </c>
    </row>
    <row r="138" spans="1:3" x14ac:dyDescent="0.35">
      <c r="A138" t="s">
        <v>41</v>
      </c>
      <c r="B138" t="s">
        <v>119</v>
      </c>
      <c r="C138">
        <v>1177062</v>
      </c>
    </row>
    <row r="139" spans="1:3" x14ac:dyDescent="0.35">
      <c r="A139" t="s">
        <v>41</v>
      </c>
      <c r="B139" t="s">
        <v>120</v>
      </c>
      <c r="C139">
        <v>1145652</v>
      </c>
    </row>
    <row r="140" spans="1:3" x14ac:dyDescent="0.35">
      <c r="A140" t="s">
        <v>41</v>
      </c>
      <c r="B140" t="s">
        <v>121</v>
      </c>
      <c r="C140">
        <v>1150938</v>
      </c>
    </row>
    <row r="141" spans="1:3" x14ac:dyDescent="0.35">
      <c r="A141" t="s">
        <v>41</v>
      </c>
      <c r="B141" t="s">
        <v>122</v>
      </c>
      <c r="C141">
        <v>1167996</v>
      </c>
    </row>
    <row r="142" spans="1:3" x14ac:dyDescent="0.35">
      <c r="A142" t="s">
        <v>41</v>
      </c>
      <c r="B142" t="s">
        <v>123</v>
      </c>
      <c r="C142">
        <v>1207290</v>
      </c>
    </row>
    <row r="143" spans="1:3" x14ac:dyDescent="0.35">
      <c r="A143" t="s">
        <v>41</v>
      </c>
      <c r="B143" t="s">
        <v>118</v>
      </c>
      <c r="C143">
        <v>1242738</v>
      </c>
    </row>
    <row r="144" spans="1:3" x14ac:dyDescent="0.35">
      <c r="A144" t="s">
        <v>41</v>
      </c>
      <c r="B144" t="s">
        <v>125</v>
      </c>
      <c r="C144">
        <v>1283964</v>
      </c>
    </row>
    <row r="145" spans="1:3" x14ac:dyDescent="0.35">
      <c r="A145" t="s">
        <v>41</v>
      </c>
      <c r="B145" t="s">
        <v>124</v>
      </c>
      <c r="C145">
        <v>1316928</v>
      </c>
    </row>
    <row r="146" spans="1:3" x14ac:dyDescent="0.35">
      <c r="A146" t="s">
        <v>43</v>
      </c>
      <c r="B146" t="s">
        <v>113</v>
      </c>
      <c r="C146">
        <v>1126339</v>
      </c>
    </row>
    <row r="147" spans="1:3" x14ac:dyDescent="0.35">
      <c r="A147" t="s">
        <v>43</v>
      </c>
      <c r="B147" t="s">
        <v>114</v>
      </c>
      <c r="C147">
        <v>1148849</v>
      </c>
    </row>
    <row r="148" spans="1:3" x14ac:dyDescent="0.35">
      <c r="A148" t="s">
        <v>43</v>
      </c>
      <c r="B148" t="s">
        <v>115</v>
      </c>
      <c r="C148">
        <v>1095117</v>
      </c>
    </row>
    <row r="149" spans="1:3" x14ac:dyDescent="0.35">
      <c r="A149" t="s">
        <v>43</v>
      </c>
      <c r="B149" t="s">
        <v>117</v>
      </c>
      <c r="C149">
        <v>1071722</v>
      </c>
    </row>
    <row r="150" spans="1:3" x14ac:dyDescent="0.35">
      <c r="A150" t="s">
        <v>43</v>
      </c>
      <c r="B150" t="s">
        <v>119</v>
      </c>
      <c r="C150">
        <v>1034989</v>
      </c>
    </row>
    <row r="151" spans="1:3" x14ac:dyDescent="0.35">
      <c r="A151" t="s">
        <v>43</v>
      </c>
      <c r="B151" t="s">
        <v>120</v>
      </c>
      <c r="C151">
        <v>1008080</v>
      </c>
    </row>
    <row r="152" spans="1:3" x14ac:dyDescent="0.35">
      <c r="A152" t="s">
        <v>43</v>
      </c>
      <c r="B152" t="s">
        <v>121</v>
      </c>
      <c r="C152">
        <v>1013571</v>
      </c>
    </row>
    <row r="153" spans="1:3" x14ac:dyDescent="0.35">
      <c r="A153" t="s">
        <v>43</v>
      </c>
      <c r="B153" t="s">
        <v>122</v>
      </c>
      <c r="C153">
        <v>1028336</v>
      </c>
    </row>
    <row r="154" spans="1:3" x14ac:dyDescent="0.35">
      <c r="A154" t="s">
        <v>43</v>
      </c>
      <c r="B154" t="s">
        <v>123</v>
      </c>
      <c r="C154">
        <v>1058131</v>
      </c>
    </row>
    <row r="155" spans="1:3" x14ac:dyDescent="0.35">
      <c r="A155" t="s">
        <v>43</v>
      </c>
      <c r="B155" t="s">
        <v>118</v>
      </c>
      <c r="C155">
        <v>1087835</v>
      </c>
    </row>
    <row r="156" spans="1:3" x14ac:dyDescent="0.35">
      <c r="A156" t="s">
        <v>43</v>
      </c>
      <c r="B156" t="s">
        <v>125</v>
      </c>
      <c r="C156">
        <v>1122573</v>
      </c>
    </row>
    <row r="157" spans="1:3" x14ac:dyDescent="0.35">
      <c r="A157" t="s">
        <v>43</v>
      </c>
      <c r="B157" t="s">
        <v>124</v>
      </c>
      <c r="C157">
        <v>1150837</v>
      </c>
    </row>
    <row r="158" spans="1:3" x14ac:dyDescent="0.35">
      <c r="A158" t="s">
        <v>46</v>
      </c>
      <c r="B158" t="s">
        <v>113</v>
      </c>
      <c r="C158">
        <v>929002</v>
      </c>
    </row>
    <row r="159" spans="1:3" x14ac:dyDescent="0.35">
      <c r="A159" t="s">
        <v>46</v>
      </c>
      <c r="B159" t="s">
        <v>114</v>
      </c>
      <c r="C159">
        <v>948110</v>
      </c>
    </row>
    <row r="160" spans="1:3" x14ac:dyDescent="0.35">
      <c r="A160" t="s">
        <v>46</v>
      </c>
      <c r="B160" t="s">
        <v>115</v>
      </c>
      <c r="C160">
        <v>900972</v>
      </c>
    </row>
    <row r="161" spans="1:3" x14ac:dyDescent="0.35">
      <c r="A161" t="s">
        <v>46</v>
      </c>
      <c r="B161" t="s">
        <v>117</v>
      </c>
      <c r="C161">
        <v>879966</v>
      </c>
    </row>
    <row r="162" spans="1:3" x14ac:dyDescent="0.35">
      <c r="A162" t="s">
        <v>46</v>
      </c>
      <c r="B162" t="s">
        <v>119</v>
      </c>
      <c r="C162">
        <v>847138</v>
      </c>
    </row>
    <row r="163" spans="1:3" x14ac:dyDescent="0.35">
      <c r="A163" t="s">
        <v>46</v>
      </c>
      <c r="B163" t="s">
        <v>120</v>
      </c>
      <c r="C163">
        <v>823190</v>
      </c>
    </row>
    <row r="164" spans="1:3" x14ac:dyDescent="0.35">
      <c r="A164" t="s">
        <v>46</v>
      </c>
      <c r="B164" t="s">
        <v>121</v>
      </c>
      <c r="C164">
        <v>826272</v>
      </c>
    </row>
    <row r="165" spans="1:3" x14ac:dyDescent="0.35">
      <c r="A165" t="s">
        <v>46</v>
      </c>
      <c r="B165" t="s">
        <v>122</v>
      </c>
      <c r="C165">
        <v>838670</v>
      </c>
    </row>
    <row r="166" spans="1:3" x14ac:dyDescent="0.35">
      <c r="A166" t="s">
        <v>46</v>
      </c>
      <c r="B166" t="s">
        <v>123</v>
      </c>
      <c r="C166">
        <v>866815</v>
      </c>
    </row>
    <row r="167" spans="1:3" x14ac:dyDescent="0.35">
      <c r="A167" t="s">
        <v>46</v>
      </c>
      <c r="B167" t="s">
        <v>118</v>
      </c>
      <c r="C167">
        <v>893318</v>
      </c>
    </row>
    <row r="168" spans="1:3" x14ac:dyDescent="0.35">
      <c r="A168" t="s">
        <v>46</v>
      </c>
      <c r="B168" t="s">
        <v>125</v>
      </c>
      <c r="C168">
        <v>924732</v>
      </c>
    </row>
    <row r="169" spans="1:3" x14ac:dyDescent="0.35">
      <c r="A169" t="s">
        <v>46</v>
      </c>
      <c r="B169" t="s">
        <v>124</v>
      </c>
      <c r="C169">
        <v>949579</v>
      </c>
    </row>
    <row r="170" spans="1:3" x14ac:dyDescent="0.35">
      <c r="A170" t="s">
        <v>49</v>
      </c>
      <c r="B170" t="s">
        <v>113</v>
      </c>
      <c r="C170">
        <v>1016659</v>
      </c>
    </row>
    <row r="171" spans="1:3" x14ac:dyDescent="0.35">
      <c r="A171" t="s">
        <v>49</v>
      </c>
      <c r="B171" t="s">
        <v>114</v>
      </c>
      <c r="C171">
        <v>1038869</v>
      </c>
    </row>
    <row r="172" spans="1:3" x14ac:dyDescent="0.35">
      <c r="A172" t="s">
        <v>49</v>
      </c>
      <c r="B172" t="s">
        <v>115</v>
      </c>
      <c r="C172">
        <v>983307</v>
      </c>
    </row>
    <row r="173" spans="1:3" x14ac:dyDescent="0.35">
      <c r="A173" t="s">
        <v>49</v>
      </c>
      <c r="B173" t="s">
        <v>117</v>
      </c>
      <c r="C173">
        <v>958684</v>
      </c>
    </row>
    <row r="174" spans="1:3" x14ac:dyDescent="0.35">
      <c r="A174" t="s">
        <v>49</v>
      </c>
      <c r="B174" t="s">
        <v>119</v>
      </c>
      <c r="C174">
        <v>919753</v>
      </c>
    </row>
    <row r="175" spans="1:3" x14ac:dyDescent="0.35">
      <c r="A175" t="s">
        <v>49</v>
      </c>
      <c r="B175" t="s">
        <v>120</v>
      </c>
      <c r="C175">
        <v>891512</v>
      </c>
    </row>
    <row r="176" spans="1:3" x14ac:dyDescent="0.35">
      <c r="A176" t="s">
        <v>49</v>
      </c>
      <c r="B176" t="s">
        <v>121</v>
      </c>
      <c r="C176">
        <v>892899</v>
      </c>
    </row>
    <row r="177" spans="1:3" x14ac:dyDescent="0.35">
      <c r="A177" t="s">
        <v>49</v>
      </c>
      <c r="B177" t="s">
        <v>122</v>
      </c>
      <c r="C177">
        <v>906884</v>
      </c>
    </row>
    <row r="178" spans="1:3" x14ac:dyDescent="0.35">
      <c r="A178" t="s">
        <v>49</v>
      </c>
      <c r="B178" t="s">
        <v>123</v>
      </c>
      <c r="C178">
        <v>939913</v>
      </c>
    </row>
    <row r="179" spans="1:3" x14ac:dyDescent="0.35">
      <c r="A179" t="s">
        <v>49</v>
      </c>
      <c r="B179" t="s">
        <v>118</v>
      </c>
      <c r="C179">
        <v>971195</v>
      </c>
    </row>
    <row r="180" spans="1:3" x14ac:dyDescent="0.35">
      <c r="A180" t="s">
        <v>49</v>
      </c>
      <c r="B180" t="s">
        <v>125</v>
      </c>
      <c r="C180">
        <v>1008579</v>
      </c>
    </row>
    <row r="181" spans="1:3" x14ac:dyDescent="0.35">
      <c r="A181" t="s">
        <v>49</v>
      </c>
      <c r="B181" t="s">
        <v>124</v>
      </c>
      <c r="C181">
        <v>1037881</v>
      </c>
    </row>
    <row r="182" spans="1:3" x14ac:dyDescent="0.35">
      <c r="A182" t="s">
        <v>52</v>
      </c>
      <c r="B182" t="s">
        <v>113</v>
      </c>
      <c r="C182">
        <v>913251</v>
      </c>
    </row>
    <row r="183" spans="1:3" x14ac:dyDescent="0.35">
      <c r="A183" t="s">
        <v>52</v>
      </c>
      <c r="B183" t="s">
        <v>114</v>
      </c>
      <c r="C183">
        <v>935439</v>
      </c>
    </row>
    <row r="184" spans="1:3" x14ac:dyDescent="0.35">
      <c r="A184" t="s">
        <v>52</v>
      </c>
      <c r="B184" t="s">
        <v>115</v>
      </c>
      <c r="C184">
        <v>880035</v>
      </c>
    </row>
    <row r="185" spans="1:3" x14ac:dyDescent="0.35">
      <c r="A185" t="s">
        <v>52</v>
      </c>
      <c r="B185" t="s">
        <v>117</v>
      </c>
      <c r="C185">
        <v>856904</v>
      </c>
    </row>
    <row r="186" spans="1:3" x14ac:dyDescent="0.35">
      <c r="A186" t="s">
        <v>52</v>
      </c>
      <c r="B186" t="s">
        <v>119</v>
      </c>
      <c r="C186">
        <v>820059</v>
      </c>
    </row>
    <row r="187" spans="1:3" x14ac:dyDescent="0.35">
      <c r="A187" t="s">
        <v>52</v>
      </c>
      <c r="B187" t="s">
        <v>120</v>
      </c>
      <c r="C187">
        <v>792618</v>
      </c>
    </row>
    <row r="188" spans="1:3" x14ac:dyDescent="0.35">
      <c r="A188" t="s">
        <v>52</v>
      </c>
      <c r="B188" t="s">
        <v>121</v>
      </c>
      <c r="C188">
        <v>791721</v>
      </c>
    </row>
    <row r="189" spans="1:3" x14ac:dyDescent="0.35">
      <c r="A189" t="s">
        <v>52</v>
      </c>
      <c r="B189" t="s">
        <v>122</v>
      </c>
      <c r="C189">
        <v>804840</v>
      </c>
    </row>
    <row r="190" spans="1:3" x14ac:dyDescent="0.35">
      <c r="A190" t="s">
        <v>52</v>
      </c>
      <c r="B190" t="s">
        <v>123</v>
      </c>
      <c r="C190">
        <v>831006</v>
      </c>
    </row>
    <row r="191" spans="1:3" x14ac:dyDescent="0.35">
      <c r="A191" t="s">
        <v>52</v>
      </c>
      <c r="B191" t="s">
        <v>118</v>
      </c>
      <c r="C191">
        <v>860769</v>
      </c>
    </row>
    <row r="192" spans="1:3" x14ac:dyDescent="0.35">
      <c r="A192" t="s">
        <v>52</v>
      </c>
      <c r="B192" t="s">
        <v>125</v>
      </c>
      <c r="C192">
        <v>896757</v>
      </c>
    </row>
    <row r="193" spans="1:3" x14ac:dyDescent="0.35">
      <c r="A193" t="s">
        <v>52</v>
      </c>
      <c r="B193" t="s">
        <v>124</v>
      </c>
      <c r="C193">
        <v>925620</v>
      </c>
    </row>
    <row r="194" spans="1:3" x14ac:dyDescent="0.35">
      <c r="A194" t="s">
        <v>58</v>
      </c>
      <c r="B194" t="s">
        <v>113</v>
      </c>
      <c r="C194">
        <v>546827</v>
      </c>
    </row>
    <row r="195" spans="1:3" x14ac:dyDescent="0.35">
      <c r="A195" t="s">
        <v>58</v>
      </c>
      <c r="B195" t="s">
        <v>114</v>
      </c>
      <c r="C195">
        <v>561821</v>
      </c>
    </row>
    <row r="196" spans="1:3" x14ac:dyDescent="0.35">
      <c r="A196" t="s">
        <v>58</v>
      </c>
      <c r="B196" t="s">
        <v>115</v>
      </c>
      <c r="C196">
        <v>523900</v>
      </c>
    </row>
    <row r="197" spans="1:3" x14ac:dyDescent="0.35">
      <c r="A197" t="s">
        <v>58</v>
      </c>
      <c r="B197" t="s">
        <v>117</v>
      </c>
      <c r="C197">
        <v>507437</v>
      </c>
    </row>
    <row r="198" spans="1:3" x14ac:dyDescent="0.35">
      <c r="A198" t="s">
        <v>58</v>
      </c>
      <c r="B198" t="s">
        <v>119</v>
      </c>
      <c r="C198">
        <v>479274</v>
      </c>
    </row>
    <row r="199" spans="1:3" x14ac:dyDescent="0.35">
      <c r="A199" t="s">
        <v>58</v>
      </c>
      <c r="B199" t="s">
        <v>120</v>
      </c>
      <c r="C199">
        <v>459994</v>
      </c>
    </row>
    <row r="200" spans="1:3" x14ac:dyDescent="0.35">
      <c r="A200" t="s">
        <v>58</v>
      </c>
      <c r="B200" t="s">
        <v>121</v>
      </c>
      <c r="C200">
        <v>456282</v>
      </c>
    </row>
    <row r="201" spans="1:3" x14ac:dyDescent="0.35">
      <c r="A201" t="s">
        <v>58</v>
      </c>
      <c r="B201" t="s">
        <v>122</v>
      </c>
      <c r="C201">
        <v>464827</v>
      </c>
    </row>
    <row r="202" spans="1:3" x14ac:dyDescent="0.35">
      <c r="A202" t="s">
        <v>58</v>
      </c>
      <c r="B202" t="s">
        <v>123</v>
      </c>
      <c r="C202">
        <v>488620</v>
      </c>
    </row>
    <row r="203" spans="1:3" x14ac:dyDescent="0.35">
      <c r="A203" t="s">
        <v>58</v>
      </c>
      <c r="B203" t="s">
        <v>118</v>
      </c>
      <c r="C203">
        <v>510525</v>
      </c>
    </row>
    <row r="204" spans="1:3" x14ac:dyDescent="0.35">
      <c r="A204" t="s">
        <v>58</v>
      </c>
      <c r="B204" t="s">
        <v>125</v>
      </c>
      <c r="C204">
        <v>536893</v>
      </c>
    </row>
    <row r="205" spans="1:3" x14ac:dyDescent="0.35">
      <c r="A205" t="s">
        <v>58</v>
      </c>
      <c r="B205" t="s">
        <v>124</v>
      </c>
      <c r="C205">
        <v>557166</v>
      </c>
    </row>
    <row r="206" spans="1:3" x14ac:dyDescent="0.35">
      <c r="A206" t="s">
        <v>59</v>
      </c>
      <c r="B206" t="s">
        <v>113</v>
      </c>
      <c r="C206">
        <v>505528</v>
      </c>
    </row>
    <row r="207" spans="1:3" x14ac:dyDescent="0.35">
      <c r="A207" t="s">
        <v>59</v>
      </c>
      <c r="B207" t="s">
        <v>114</v>
      </c>
      <c r="C207">
        <v>517704</v>
      </c>
    </row>
    <row r="208" spans="1:3" x14ac:dyDescent="0.35">
      <c r="A208" t="s">
        <v>59</v>
      </c>
      <c r="B208" t="s">
        <v>115</v>
      </c>
      <c r="C208">
        <v>487254</v>
      </c>
    </row>
    <row r="209" spans="1:3" x14ac:dyDescent="0.35">
      <c r="A209" t="s">
        <v>59</v>
      </c>
      <c r="B209" t="s">
        <v>117</v>
      </c>
      <c r="C209">
        <v>473645</v>
      </c>
    </row>
    <row r="210" spans="1:3" x14ac:dyDescent="0.35">
      <c r="A210" t="s">
        <v>59</v>
      </c>
      <c r="B210" t="s">
        <v>119</v>
      </c>
      <c r="C210">
        <v>450844</v>
      </c>
    </row>
    <row r="211" spans="1:3" x14ac:dyDescent="0.35">
      <c r="A211" t="s">
        <v>59</v>
      </c>
      <c r="B211" t="s">
        <v>120</v>
      </c>
      <c r="C211">
        <v>435215</v>
      </c>
    </row>
    <row r="212" spans="1:3" x14ac:dyDescent="0.35">
      <c r="A212" t="s">
        <v>59</v>
      </c>
      <c r="B212" t="s">
        <v>121</v>
      </c>
      <c r="C212">
        <v>434048</v>
      </c>
    </row>
    <row r="213" spans="1:3" x14ac:dyDescent="0.35">
      <c r="A213" t="s">
        <v>59</v>
      </c>
      <c r="B213" t="s">
        <v>122</v>
      </c>
      <c r="C213">
        <v>441432</v>
      </c>
    </row>
    <row r="214" spans="1:3" x14ac:dyDescent="0.35">
      <c r="A214" t="s">
        <v>59</v>
      </c>
      <c r="B214" t="s">
        <v>123</v>
      </c>
      <c r="C214">
        <v>461934</v>
      </c>
    </row>
    <row r="215" spans="1:3" x14ac:dyDescent="0.35">
      <c r="A215" t="s">
        <v>59</v>
      </c>
      <c r="B215" t="s">
        <v>118</v>
      </c>
      <c r="C215">
        <v>479764</v>
      </c>
    </row>
    <row r="216" spans="1:3" x14ac:dyDescent="0.35">
      <c r="A216" t="s">
        <v>59</v>
      </c>
      <c r="B216" t="s">
        <v>125</v>
      </c>
      <c r="C216">
        <v>500991</v>
      </c>
    </row>
    <row r="217" spans="1:3" x14ac:dyDescent="0.35">
      <c r="A217" t="s">
        <v>59</v>
      </c>
      <c r="B217" t="s">
        <v>124</v>
      </c>
      <c r="C217">
        <v>517316</v>
      </c>
    </row>
    <row r="218" spans="1:3" x14ac:dyDescent="0.35">
      <c r="A218" t="s">
        <v>60</v>
      </c>
      <c r="B218" t="s">
        <v>113</v>
      </c>
      <c r="C218">
        <v>530472</v>
      </c>
    </row>
    <row r="219" spans="1:3" x14ac:dyDescent="0.35">
      <c r="A219" t="s">
        <v>60</v>
      </c>
      <c r="B219" t="s">
        <v>114</v>
      </c>
      <c r="C219">
        <v>545488</v>
      </c>
    </row>
    <row r="220" spans="1:3" x14ac:dyDescent="0.35">
      <c r="A220" t="s">
        <v>60</v>
      </c>
      <c r="B220" t="s">
        <v>115</v>
      </c>
      <c r="C220">
        <v>506104</v>
      </c>
    </row>
    <row r="221" spans="1:3" x14ac:dyDescent="0.35">
      <c r="A221" t="s">
        <v>60</v>
      </c>
      <c r="B221" t="s">
        <v>117</v>
      </c>
      <c r="C221">
        <v>488263</v>
      </c>
    </row>
    <row r="222" spans="1:3" x14ac:dyDescent="0.35">
      <c r="A222" t="s">
        <v>60</v>
      </c>
      <c r="B222" t="s">
        <v>119</v>
      </c>
      <c r="C222">
        <v>457822</v>
      </c>
    </row>
    <row r="223" spans="1:3" x14ac:dyDescent="0.35">
      <c r="A223" t="s">
        <v>60</v>
      </c>
      <c r="B223" t="s">
        <v>120</v>
      </c>
      <c r="C223">
        <v>437323</v>
      </c>
    </row>
    <row r="224" spans="1:3" x14ac:dyDescent="0.35">
      <c r="A224" t="s">
        <v>60</v>
      </c>
      <c r="B224" t="s">
        <v>121</v>
      </c>
      <c r="C224">
        <v>432154</v>
      </c>
    </row>
    <row r="225" spans="1:3" x14ac:dyDescent="0.35">
      <c r="A225" t="s">
        <v>60</v>
      </c>
      <c r="B225" t="s">
        <v>122</v>
      </c>
      <c r="C225">
        <v>440686</v>
      </c>
    </row>
    <row r="226" spans="1:3" x14ac:dyDescent="0.35">
      <c r="A226" t="s">
        <v>60</v>
      </c>
      <c r="B226" t="s">
        <v>123</v>
      </c>
      <c r="C226">
        <v>468994</v>
      </c>
    </row>
    <row r="227" spans="1:3" x14ac:dyDescent="0.35">
      <c r="A227" t="s">
        <v>60</v>
      </c>
      <c r="B227" t="s">
        <v>118</v>
      </c>
      <c r="C227">
        <v>492552</v>
      </c>
    </row>
    <row r="228" spans="1:3" x14ac:dyDescent="0.35">
      <c r="A228" t="s">
        <v>60</v>
      </c>
      <c r="B228" t="s">
        <v>125</v>
      </c>
      <c r="C228">
        <v>521147</v>
      </c>
    </row>
    <row r="229" spans="1:3" x14ac:dyDescent="0.35">
      <c r="A229" t="s">
        <v>60</v>
      </c>
      <c r="B229" t="s">
        <v>124</v>
      </c>
      <c r="C229">
        <v>542368</v>
      </c>
    </row>
    <row r="230" spans="1:3" x14ac:dyDescent="0.35">
      <c r="A230" t="s">
        <v>62</v>
      </c>
      <c r="B230" t="s">
        <v>113</v>
      </c>
      <c r="C230">
        <v>769058</v>
      </c>
    </row>
    <row r="231" spans="1:3" x14ac:dyDescent="0.35">
      <c r="A231" t="s">
        <v>62</v>
      </c>
      <c r="B231" t="s">
        <v>114</v>
      </c>
      <c r="C231">
        <v>785606</v>
      </c>
    </row>
    <row r="232" spans="1:3" x14ac:dyDescent="0.35">
      <c r="A232" t="s">
        <v>62</v>
      </c>
      <c r="B232" t="s">
        <v>115</v>
      </c>
      <c r="C232">
        <v>743778</v>
      </c>
    </row>
    <row r="233" spans="1:3" x14ac:dyDescent="0.35">
      <c r="A233" t="s">
        <v>62</v>
      </c>
      <c r="B233" t="s">
        <v>117</v>
      </c>
      <c r="C233">
        <v>725044</v>
      </c>
    </row>
    <row r="234" spans="1:3" x14ac:dyDescent="0.35">
      <c r="A234" t="s">
        <v>62</v>
      </c>
      <c r="B234" t="s">
        <v>119</v>
      </c>
      <c r="C234">
        <v>695791</v>
      </c>
    </row>
    <row r="235" spans="1:3" x14ac:dyDescent="0.35">
      <c r="A235" t="s">
        <v>62</v>
      </c>
      <c r="B235" t="s">
        <v>120</v>
      </c>
      <c r="C235">
        <v>674428</v>
      </c>
    </row>
    <row r="236" spans="1:3" x14ac:dyDescent="0.35">
      <c r="A236" t="s">
        <v>62</v>
      </c>
      <c r="B236" t="s">
        <v>121</v>
      </c>
      <c r="C236">
        <v>675632</v>
      </c>
    </row>
    <row r="237" spans="1:3" x14ac:dyDescent="0.35">
      <c r="A237" t="s">
        <v>62</v>
      </c>
      <c r="B237" t="s">
        <v>122</v>
      </c>
      <c r="C237">
        <v>686139</v>
      </c>
    </row>
    <row r="238" spans="1:3" x14ac:dyDescent="0.35">
      <c r="A238" t="s">
        <v>62</v>
      </c>
      <c r="B238" t="s">
        <v>123</v>
      </c>
      <c r="C238">
        <v>711425</v>
      </c>
    </row>
    <row r="239" spans="1:3" x14ac:dyDescent="0.35">
      <c r="A239" t="s">
        <v>62</v>
      </c>
      <c r="B239" t="s">
        <v>118</v>
      </c>
      <c r="C239">
        <v>735026</v>
      </c>
    </row>
    <row r="240" spans="1:3" x14ac:dyDescent="0.35">
      <c r="A240" t="s">
        <v>62</v>
      </c>
      <c r="B240" t="s">
        <v>125</v>
      </c>
      <c r="C240">
        <v>763329</v>
      </c>
    </row>
    <row r="241" spans="1:3" x14ac:dyDescent="0.35">
      <c r="A241" t="s">
        <v>62</v>
      </c>
      <c r="B241" t="s">
        <v>124</v>
      </c>
      <c r="C241">
        <v>785362</v>
      </c>
    </row>
    <row r="242" spans="1:3" x14ac:dyDescent="0.35">
      <c r="A242" t="s">
        <v>63</v>
      </c>
      <c r="B242" t="s">
        <v>113</v>
      </c>
      <c r="C242">
        <v>599902</v>
      </c>
    </row>
    <row r="243" spans="1:3" x14ac:dyDescent="0.35">
      <c r="A243" t="s">
        <v>63</v>
      </c>
      <c r="B243" t="s">
        <v>114</v>
      </c>
      <c r="C243">
        <v>614786</v>
      </c>
    </row>
    <row r="244" spans="1:3" x14ac:dyDescent="0.35">
      <c r="A244" t="s">
        <v>63</v>
      </c>
      <c r="B244" t="s">
        <v>115</v>
      </c>
      <c r="C244">
        <v>575860</v>
      </c>
    </row>
    <row r="245" spans="1:3" x14ac:dyDescent="0.35">
      <c r="A245" t="s">
        <v>63</v>
      </c>
      <c r="B245" t="s">
        <v>117</v>
      </c>
      <c r="C245">
        <v>558481</v>
      </c>
    </row>
    <row r="246" spans="1:3" x14ac:dyDescent="0.35">
      <c r="A246" t="s">
        <v>63</v>
      </c>
      <c r="B246" t="s">
        <v>119</v>
      </c>
      <c r="C246">
        <v>530639</v>
      </c>
    </row>
    <row r="247" spans="1:3" x14ac:dyDescent="0.35">
      <c r="A247" t="s">
        <v>63</v>
      </c>
      <c r="B247" t="s">
        <v>120</v>
      </c>
      <c r="C247">
        <v>510651</v>
      </c>
    </row>
    <row r="248" spans="1:3" x14ac:dyDescent="0.35">
      <c r="A248" t="s">
        <v>63</v>
      </c>
      <c r="B248" t="s">
        <v>121</v>
      </c>
      <c r="C248">
        <v>508383</v>
      </c>
    </row>
    <row r="249" spans="1:3" x14ac:dyDescent="0.35">
      <c r="A249" t="s">
        <v>63</v>
      </c>
      <c r="B249" t="s">
        <v>122</v>
      </c>
      <c r="C249">
        <v>517234</v>
      </c>
    </row>
    <row r="250" spans="1:3" x14ac:dyDescent="0.35">
      <c r="A250" t="s">
        <v>63</v>
      </c>
      <c r="B250" t="s">
        <v>123</v>
      </c>
      <c r="C250">
        <v>541328</v>
      </c>
    </row>
    <row r="251" spans="1:3" x14ac:dyDescent="0.35">
      <c r="A251" t="s">
        <v>63</v>
      </c>
      <c r="B251" t="s">
        <v>118</v>
      </c>
      <c r="C251">
        <v>563530</v>
      </c>
    </row>
    <row r="252" spans="1:3" x14ac:dyDescent="0.35">
      <c r="A252" t="s">
        <v>63</v>
      </c>
      <c r="B252" t="s">
        <v>125</v>
      </c>
      <c r="C252">
        <v>590602</v>
      </c>
    </row>
    <row r="253" spans="1:3" x14ac:dyDescent="0.35">
      <c r="A253" t="s">
        <v>63</v>
      </c>
      <c r="B253" t="s">
        <v>124</v>
      </c>
      <c r="C253">
        <v>611173</v>
      </c>
    </row>
    <row r="254" spans="1:3" x14ac:dyDescent="0.35">
      <c r="A254" t="s">
        <v>64</v>
      </c>
      <c r="B254" t="s">
        <v>113</v>
      </c>
      <c r="C254">
        <v>758732</v>
      </c>
    </row>
    <row r="255" spans="1:3" x14ac:dyDescent="0.35">
      <c r="A255" t="s">
        <v>64</v>
      </c>
      <c r="B255" t="s">
        <v>114</v>
      </c>
      <c r="C255">
        <v>777508</v>
      </c>
    </row>
    <row r="256" spans="1:3" x14ac:dyDescent="0.35">
      <c r="A256" t="s">
        <v>64</v>
      </c>
      <c r="B256" t="s">
        <v>115</v>
      </c>
      <c r="C256">
        <v>730504</v>
      </c>
    </row>
    <row r="257" spans="1:3" x14ac:dyDescent="0.35">
      <c r="A257" t="s">
        <v>64</v>
      </c>
      <c r="B257" t="s">
        <v>117</v>
      </c>
      <c r="C257">
        <v>708888</v>
      </c>
    </row>
    <row r="258" spans="1:3" x14ac:dyDescent="0.35">
      <c r="A258" t="s">
        <v>64</v>
      </c>
      <c r="B258" t="s">
        <v>119</v>
      </c>
      <c r="C258">
        <v>671453</v>
      </c>
    </row>
    <row r="259" spans="1:3" x14ac:dyDescent="0.35">
      <c r="A259" t="s">
        <v>64</v>
      </c>
      <c r="B259" t="s">
        <v>120</v>
      </c>
      <c r="C259">
        <v>646918</v>
      </c>
    </row>
    <row r="260" spans="1:3" x14ac:dyDescent="0.35">
      <c r="A260" t="s">
        <v>64</v>
      </c>
      <c r="B260" t="s">
        <v>121</v>
      </c>
      <c r="C260">
        <v>643818</v>
      </c>
    </row>
    <row r="261" spans="1:3" x14ac:dyDescent="0.35">
      <c r="A261" t="s">
        <v>64</v>
      </c>
      <c r="B261" t="s">
        <v>122</v>
      </c>
      <c r="C261">
        <v>655190</v>
      </c>
    </row>
    <row r="262" spans="1:3" x14ac:dyDescent="0.35">
      <c r="A262" t="s">
        <v>64</v>
      </c>
      <c r="B262" t="s">
        <v>123</v>
      </c>
      <c r="C262">
        <v>691710</v>
      </c>
    </row>
    <row r="263" spans="1:3" x14ac:dyDescent="0.35">
      <c r="A263" t="s">
        <v>64</v>
      </c>
      <c r="B263" t="s">
        <v>118</v>
      </c>
      <c r="C263">
        <v>720452</v>
      </c>
    </row>
    <row r="264" spans="1:3" x14ac:dyDescent="0.35">
      <c r="A264" t="s">
        <v>64</v>
      </c>
      <c r="B264" t="s">
        <v>125</v>
      </c>
      <c r="C264">
        <v>754455</v>
      </c>
    </row>
    <row r="265" spans="1:3" x14ac:dyDescent="0.35">
      <c r="A265" t="s">
        <v>64</v>
      </c>
      <c r="B265" t="s">
        <v>124</v>
      </c>
      <c r="C265">
        <v>780061</v>
      </c>
    </row>
    <row r="266" spans="1:3" x14ac:dyDescent="0.35">
      <c r="A266" t="s">
        <v>65</v>
      </c>
      <c r="B266" t="s">
        <v>113</v>
      </c>
      <c r="C266">
        <v>481434</v>
      </c>
    </row>
    <row r="267" spans="1:3" x14ac:dyDescent="0.35">
      <c r="A267" t="s">
        <v>65</v>
      </c>
      <c r="B267" t="s">
        <v>114</v>
      </c>
      <c r="C267">
        <v>493446</v>
      </c>
    </row>
    <row r="268" spans="1:3" x14ac:dyDescent="0.35">
      <c r="A268" t="s">
        <v>65</v>
      </c>
      <c r="B268" t="s">
        <v>115</v>
      </c>
      <c r="C268">
        <v>462584</v>
      </c>
    </row>
    <row r="269" spans="1:3" x14ac:dyDescent="0.35">
      <c r="A269" t="s">
        <v>65</v>
      </c>
      <c r="B269" t="s">
        <v>117</v>
      </c>
      <c r="C269">
        <v>448573</v>
      </c>
    </row>
    <row r="270" spans="1:3" x14ac:dyDescent="0.35">
      <c r="A270" t="s">
        <v>65</v>
      </c>
      <c r="B270" t="s">
        <v>119</v>
      </c>
      <c r="C270">
        <v>425224</v>
      </c>
    </row>
    <row r="271" spans="1:3" x14ac:dyDescent="0.35">
      <c r="A271" t="s">
        <v>65</v>
      </c>
      <c r="B271" t="s">
        <v>120</v>
      </c>
      <c r="C271">
        <v>409226</v>
      </c>
    </row>
    <row r="272" spans="1:3" x14ac:dyDescent="0.35">
      <c r="A272" t="s">
        <v>65</v>
      </c>
      <c r="B272" t="s">
        <v>121</v>
      </c>
      <c r="C272">
        <v>407157</v>
      </c>
    </row>
    <row r="273" spans="1:3" x14ac:dyDescent="0.35">
      <c r="A273" t="s">
        <v>65</v>
      </c>
      <c r="B273" t="s">
        <v>122</v>
      </c>
      <c r="C273">
        <v>414347</v>
      </c>
    </row>
    <row r="274" spans="1:3" x14ac:dyDescent="0.35">
      <c r="A274" t="s">
        <v>65</v>
      </c>
      <c r="B274" t="s">
        <v>123</v>
      </c>
      <c r="C274">
        <v>435974</v>
      </c>
    </row>
    <row r="275" spans="1:3" x14ac:dyDescent="0.35">
      <c r="A275" t="s">
        <v>65</v>
      </c>
      <c r="B275" t="s">
        <v>118</v>
      </c>
      <c r="C275">
        <v>454230</v>
      </c>
    </row>
    <row r="276" spans="1:3" x14ac:dyDescent="0.35">
      <c r="A276" t="s">
        <v>65</v>
      </c>
      <c r="B276" t="s">
        <v>125</v>
      </c>
      <c r="C276">
        <v>476186</v>
      </c>
    </row>
    <row r="277" spans="1:3" x14ac:dyDescent="0.35">
      <c r="A277" t="s">
        <v>65</v>
      </c>
      <c r="B277" t="s">
        <v>124</v>
      </c>
      <c r="C277">
        <v>492746</v>
      </c>
    </row>
    <row r="278" spans="1:3" x14ac:dyDescent="0.35">
      <c r="A278" t="s">
        <v>67</v>
      </c>
      <c r="B278" t="s">
        <v>113</v>
      </c>
      <c r="C278">
        <v>797494</v>
      </c>
    </row>
    <row r="279" spans="1:3" x14ac:dyDescent="0.35">
      <c r="A279" t="s">
        <v>67</v>
      </c>
      <c r="B279" t="s">
        <v>114</v>
      </c>
      <c r="C279">
        <v>814130</v>
      </c>
    </row>
    <row r="280" spans="1:3" x14ac:dyDescent="0.35">
      <c r="A280" t="s">
        <v>67</v>
      </c>
      <c r="B280" t="s">
        <v>115</v>
      </c>
      <c r="C280">
        <v>772152</v>
      </c>
    </row>
    <row r="281" spans="1:3" x14ac:dyDescent="0.35">
      <c r="A281" t="s">
        <v>67</v>
      </c>
      <c r="B281" t="s">
        <v>117</v>
      </c>
      <c r="C281">
        <v>752760</v>
      </c>
    </row>
    <row r="282" spans="1:3" x14ac:dyDescent="0.35">
      <c r="A282" t="s">
        <v>67</v>
      </c>
      <c r="B282" t="s">
        <v>119</v>
      </c>
      <c r="C282">
        <v>722082</v>
      </c>
    </row>
    <row r="283" spans="1:3" x14ac:dyDescent="0.35">
      <c r="A283" t="s">
        <v>67</v>
      </c>
      <c r="B283" t="s">
        <v>120</v>
      </c>
      <c r="C283">
        <v>700315</v>
      </c>
    </row>
    <row r="284" spans="1:3" x14ac:dyDescent="0.35">
      <c r="A284" t="s">
        <v>67</v>
      </c>
      <c r="B284" t="s">
        <v>121</v>
      </c>
      <c r="C284">
        <v>701849</v>
      </c>
    </row>
    <row r="285" spans="1:3" x14ac:dyDescent="0.35">
      <c r="A285" t="s">
        <v>67</v>
      </c>
      <c r="B285" t="s">
        <v>122</v>
      </c>
      <c r="C285">
        <v>712663</v>
      </c>
    </row>
    <row r="286" spans="1:3" x14ac:dyDescent="0.35">
      <c r="A286" t="s">
        <v>67</v>
      </c>
      <c r="B286" t="s">
        <v>123</v>
      </c>
      <c r="C286">
        <v>741575</v>
      </c>
    </row>
    <row r="287" spans="1:3" x14ac:dyDescent="0.35">
      <c r="A287" t="s">
        <v>67</v>
      </c>
      <c r="B287" t="s">
        <v>118</v>
      </c>
      <c r="C287">
        <v>766074</v>
      </c>
    </row>
    <row r="288" spans="1:3" x14ac:dyDescent="0.35">
      <c r="A288" t="s">
        <v>67</v>
      </c>
      <c r="B288" t="s">
        <v>125</v>
      </c>
      <c r="C288">
        <v>795220</v>
      </c>
    </row>
    <row r="289" spans="1:3" x14ac:dyDescent="0.35">
      <c r="A289" t="s">
        <v>67</v>
      </c>
      <c r="B289" t="s">
        <v>124</v>
      </c>
      <c r="C289">
        <v>817574</v>
      </c>
    </row>
    <row r="290" spans="1:3" x14ac:dyDescent="0.35">
      <c r="A290" t="s">
        <v>68</v>
      </c>
      <c r="B290" t="s">
        <v>113</v>
      </c>
      <c r="C290">
        <v>828360</v>
      </c>
    </row>
    <row r="291" spans="1:3" x14ac:dyDescent="0.35">
      <c r="A291" t="s">
        <v>68</v>
      </c>
      <c r="B291" t="s">
        <v>114</v>
      </c>
      <c r="C291">
        <v>844848</v>
      </c>
    </row>
    <row r="292" spans="1:3" x14ac:dyDescent="0.35">
      <c r="A292" t="s">
        <v>68</v>
      </c>
      <c r="B292" t="s">
        <v>115</v>
      </c>
      <c r="C292">
        <v>804008</v>
      </c>
    </row>
    <row r="293" spans="1:3" x14ac:dyDescent="0.35">
      <c r="A293" t="s">
        <v>68</v>
      </c>
      <c r="B293" t="s">
        <v>117</v>
      </c>
      <c r="C293">
        <v>784633</v>
      </c>
    </row>
    <row r="294" spans="1:3" x14ac:dyDescent="0.35">
      <c r="A294" t="s">
        <v>68</v>
      </c>
      <c r="B294" t="s">
        <v>119</v>
      </c>
      <c r="C294">
        <v>753386</v>
      </c>
    </row>
    <row r="295" spans="1:3" x14ac:dyDescent="0.35">
      <c r="A295" t="s">
        <v>68</v>
      </c>
      <c r="B295" t="s">
        <v>120</v>
      </c>
      <c r="C295">
        <v>731954</v>
      </c>
    </row>
    <row r="296" spans="1:3" x14ac:dyDescent="0.35">
      <c r="A296" t="s">
        <v>68</v>
      </c>
      <c r="B296" t="s">
        <v>121</v>
      </c>
      <c r="C296">
        <v>734452</v>
      </c>
    </row>
    <row r="297" spans="1:3" x14ac:dyDescent="0.35">
      <c r="A297" t="s">
        <v>68</v>
      </c>
      <c r="B297" t="s">
        <v>122</v>
      </c>
      <c r="C297">
        <v>745512</v>
      </c>
    </row>
    <row r="298" spans="1:3" x14ac:dyDescent="0.35">
      <c r="A298" t="s">
        <v>68</v>
      </c>
      <c r="B298" t="s">
        <v>123</v>
      </c>
      <c r="C298">
        <v>777145</v>
      </c>
    </row>
    <row r="299" spans="1:3" x14ac:dyDescent="0.35">
      <c r="A299" t="s">
        <v>68</v>
      </c>
      <c r="B299" t="s">
        <v>118</v>
      </c>
      <c r="C299">
        <v>801800</v>
      </c>
    </row>
    <row r="300" spans="1:3" x14ac:dyDescent="0.35">
      <c r="A300" t="s">
        <v>68</v>
      </c>
      <c r="B300" t="s">
        <v>125</v>
      </c>
      <c r="C300">
        <v>830686</v>
      </c>
    </row>
    <row r="301" spans="1:3" x14ac:dyDescent="0.35">
      <c r="A301" t="s">
        <v>68</v>
      </c>
      <c r="B301" t="s">
        <v>124</v>
      </c>
      <c r="C301">
        <v>852717</v>
      </c>
    </row>
    <row r="302" spans="1:3" x14ac:dyDescent="0.35">
      <c r="A302" t="s">
        <v>69</v>
      </c>
      <c r="B302" t="s">
        <v>113</v>
      </c>
      <c r="C302">
        <v>477248</v>
      </c>
    </row>
    <row r="303" spans="1:3" x14ac:dyDescent="0.35">
      <c r="A303" t="s">
        <v>69</v>
      </c>
      <c r="B303" t="s">
        <v>114</v>
      </c>
      <c r="C303">
        <v>491000</v>
      </c>
    </row>
    <row r="304" spans="1:3" x14ac:dyDescent="0.35">
      <c r="A304" t="s">
        <v>69</v>
      </c>
      <c r="B304" t="s">
        <v>115</v>
      </c>
      <c r="C304">
        <v>456090</v>
      </c>
    </row>
    <row r="305" spans="1:3" x14ac:dyDescent="0.35">
      <c r="A305" t="s">
        <v>69</v>
      </c>
      <c r="B305" t="s">
        <v>117</v>
      </c>
      <c r="C305">
        <v>441186</v>
      </c>
    </row>
    <row r="306" spans="1:3" x14ac:dyDescent="0.35">
      <c r="A306" t="s">
        <v>69</v>
      </c>
      <c r="B306" t="s">
        <v>119</v>
      </c>
      <c r="C306">
        <v>415626</v>
      </c>
    </row>
    <row r="307" spans="1:3" x14ac:dyDescent="0.35">
      <c r="A307" t="s">
        <v>69</v>
      </c>
      <c r="B307" t="s">
        <v>120</v>
      </c>
      <c r="C307">
        <v>397996</v>
      </c>
    </row>
    <row r="308" spans="1:3" x14ac:dyDescent="0.35">
      <c r="A308" t="s">
        <v>69</v>
      </c>
      <c r="B308" t="s">
        <v>121</v>
      </c>
      <c r="C308">
        <v>393954</v>
      </c>
    </row>
    <row r="309" spans="1:3" x14ac:dyDescent="0.35">
      <c r="A309" t="s">
        <v>69</v>
      </c>
      <c r="B309" t="s">
        <v>122</v>
      </c>
      <c r="C309">
        <v>401598</v>
      </c>
    </row>
    <row r="310" spans="1:3" x14ac:dyDescent="0.35">
      <c r="A310" t="s">
        <v>69</v>
      </c>
      <c r="B310" t="s">
        <v>123</v>
      </c>
      <c r="C310">
        <v>422260</v>
      </c>
    </row>
    <row r="311" spans="1:3" x14ac:dyDescent="0.35">
      <c r="A311" t="s">
        <v>69</v>
      </c>
      <c r="B311" t="s">
        <v>118</v>
      </c>
      <c r="C311">
        <v>442164</v>
      </c>
    </row>
    <row r="312" spans="1:3" x14ac:dyDescent="0.35">
      <c r="A312" t="s">
        <v>69</v>
      </c>
      <c r="B312" t="s">
        <v>125</v>
      </c>
      <c r="C312">
        <v>466252</v>
      </c>
    </row>
    <row r="313" spans="1:3" x14ac:dyDescent="0.35">
      <c r="A313" t="s">
        <v>69</v>
      </c>
      <c r="B313" t="s">
        <v>124</v>
      </c>
      <c r="C313">
        <v>484844</v>
      </c>
    </row>
    <row r="314" spans="1:3" x14ac:dyDescent="0.35">
      <c r="A314" t="s">
        <v>70</v>
      </c>
      <c r="B314" t="s">
        <v>113</v>
      </c>
      <c r="C314">
        <v>680602</v>
      </c>
    </row>
    <row r="315" spans="1:3" x14ac:dyDescent="0.35">
      <c r="A315" t="s">
        <v>70</v>
      </c>
      <c r="B315" t="s">
        <v>114</v>
      </c>
      <c r="C315">
        <v>695990</v>
      </c>
    </row>
    <row r="316" spans="1:3" x14ac:dyDescent="0.35">
      <c r="A316" t="s">
        <v>70</v>
      </c>
      <c r="B316" t="s">
        <v>115</v>
      </c>
      <c r="C316">
        <v>657712</v>
      </c>
    </row>
    <row r="317" spans="1:3" x14ac:dyDescent="0.35">
      <c r="A317" t="s">
        <v>70</v>
      </c>
      <c r="B317" t="s">
        <v>117</v>
      </c>
      <c r="C317">
        <v>640752</v>
      </c>
    </row>
    <row r="318" spans="1:3" x14ac:dyDescent="0.35">
      <c r="A318" t="s">
        <v>70</v>
      </c>
      <c r="B318" t="s">
        <v>119</v>
      </c>
      <c r="C318">
        <v>613226</v>
      </c>
    </row>
    <row r="319" spans="1:3" x14ac:dyDescent="0.35">
      <c r="A319" t="s">
        <v>70</v>
      </c>
      <c r="B319" t="s">
        <v>120</v>
      </c>
      <c r="C319">
        <v>593734</v>
      </c>
    </row>
    <row r="320" spans="1:3" x14ac:dyDescent="0.35">
      <c r="A320" t="s">
        <v>70</v>
      </c>
      <c r="B320" t="s">
        <v>121</v>
      </c>
      <c r="C320">
        <v>593888</v>
      </c>
    </row>
    <row r="321" spans="1:3" x14ac:dyDescent="0.35">
      <c r="A321" t="s">
        <v>70</v>
      </c>
      <c r="B321" t="s">
        <v>122</v>
      </c>
      <c r="C321">
        <v>603446</v>
      </c>
    </row>
    <row r="322" spans="1:3" x14ac:dyDescent="0.35">
      <c r="A322" t="s">
        <v>70</v>
      </c>
      <c r="B322" t="s">
        <v>123</v>
      </c>
      <c r="C322">
        <v>627219</v>
      </c>
    </row>
    <row r="323" spans="1:3" x14ac:dyDescent="0.35">
      <c r="A323" t="s">
        <v>70</v>
      </c>
      <c r="B323" t="s">
        <v>118</v>
      </c>
      <c r="C323">
        <v>649078</v>
      </c>
    </row>
    <row r="324" spans="1:3" x14ac:dyDescent="0.35">
      <c r="A324" t="s">
        <v>70</v>
      </c>
      <c r="B324" t="s">
        <v>125</v>
      </c>
      <c r="C324">
        <v>675104</v>
      </c>
    </row>
    <row r="325" spans="1:3" x14ac:dyDescent="0.35">
      <c r="A325" t="s">
        <v>70</v>
      </c>
      <c r="B325" t="s">
        <v>124</v>
      </c>
      <c r="C325">
        <v>695427</v>
      </c>
    </row>
    <row r="326" spans="1:3" x14ac:dyDescent="0.35">
      <c r="A326" t="s">
        <v>71</v>
      </c>
      <c r="B326" t="s">
        <v>113</v>
      </c>
      <c r="C326">
        <v>581533</v>
      </c>
    </row>
    <row r="327" spans="1:3" x14ac:dyDescent="0.35">
      <c r="A327" t="s">
        <v>71</v>
      </c>
      <c r="B327" t="s">
        <v>114</v>
      </c>
      <c r="C327">
        <v>597995</v>
      </c>
    </row>
    <row r="328" spans="1:3" x14ac:dyDescent="0.35">
      <c r="A328" t="s">
        <v>71</v>
      </c>
      <c r="B328" t="s">
        <v>115</v>
      </c>
      <c r="C328">
        <v>556492</v>
      </c>
    </row>
    <row r="329" spans="1:3" x14ac:dyDescent="0.35">
      <c r="A329" t="s">
        <v>71</v>
      </c>
      <c r="B329" t="s">
        <v>117</v>
      </c>
      <c r="C329">
        <v>538060</v>
      </c>
    </row>
    <row r="330" spans="1:3" x14ac:dyDescent="0.35">
      <c r="A330" t="s">
        <v>71</v>
      </c>
      <c r="B330" t="s">
        <v>119</v>
      </c>
      <c r="C330">
        <v>505461</v>
      </c>
    </row>
    <row r="331" spans="1:3" x14ac:dyDescent="0.35">
      <c r="A331" t="s">
        <v>71</v>
      </c>
      <c r="B331" t="s">
        <v>120</v>
      </c>
      <c r="C331">
        <v>484074</v>
      </c>
    </row>
    <row r="332" spans="1:3" x14ac:dyDescent="0.35">
      <c r="A332" t="s">
        <v>71</v>
      </c>
      <c r="B332" t="s">
        <v>121</v>
      </c>
      <c r="C332">
        <v>478971</v>
      </c>
    </row>
    <row r="333" spans="1:3" x14ac:dyDescent="0.35">
      <c r="A333" t="s">
        <v>71</v>
      </c>
      <c r="B333" t="s">
        <v>122</v>
      </c>
      <c r="C333">
        <v>488322</v>
      </c>
    </row>
    <row r="334" spans="1:3" x14ac:dyDescent="0.35">
      <c r="A334" t="s">
        <v>71</v>
      </c>
      <c r="B334" t="s">
        <v>123</v>
      </c>
      <c r="C334">
        <v>518055</v>
      </c>
    </row>
    <row r="335" spans="1:3" x14ac:dyDescent="0.35">
      <c r="A335" t="s">
        <v>71</v>
      </c>
      <c r="B335" t="s">
        <v>118</v>
      </c>
      <c r="C335">
        <v>542971</v>
      </c>
    </row>
    <row r="336" spans="1:3" x14ac:dyDescent="0.35">
      <c r="A336" t="s">
        <v>71</v>
      </c>
      <c r="B336" t="s">
        <v>125</v>
      </c>
      <c r="C336">
        <v>572740</v>
      </c>
    </row>
    <row r="337" spans="1:3" x14ac:dyDescent="0.35">
      <c r="A337" t="s">
        <v>71</v>
      </c>
      <c r="B337" t="s">
        <v>124</v>
      </c>
      <c r="C337">
        <v>595256</v>
      </c>
    </row>
    <row r="338" spans="1:3" x14ac:dyDescent="0.35">
      <c r="A338" t="s">
        <v>73</v>
      </c>
      <c r="B338" t="s">
        <v>113</v>
      </c>
      <c r="C338">
        <v>1673171</v>
      </c>
    </row>
    <row r="339" spans="1:3" x14ac:dyDescent="0.35">
      <c r="A339" t="s">
        <v>73</v>
      </c>
      <c r="B339" t="s">
        <v>114</v>
      </c>
      <c r="C339">
        <v>1696054</v>
      </c>
    </row>
    <row r="340" spans="1:3" x14ac:dyDescent="0.35">
      <c r="A340" t="s">
        <v>73</v>
      </c>
      <c r="B340" t="s">
        <v>115</v>
      </c>
      <c r="C340">
        <v>1646668</v>
      </c>
    </row>
    <row r="341" spans="1:3" x14ac:dyDescent="0.35">
      <c r="A341" t="s">
        <v>73</v>
      </c>
      <c r="B341" t="s">
        <v>117</v>
      </c>
      <c r="C341">
        <v>1622622</v>
      </c>
    </row>
    <row r="342" spans="1:3" x14ac:dyDescent="0.35">
      <c r="A342" t="s">
        <v>73</v>
      </c>
      <c r="B342" t="s">
        <v>119</v>
      </c>
      <c r="C342">
        <v>1587679</v>
      </c>
    </row>
    <row r="343" spans="1:3" x14ac:dyDescent="0.35">
      <c r="A343" t="s">
        <v>73</v>
      </c>
      <c r="B343" t="s">
        <v>120</v>
      </c>
      <c r="C343">
        <v>1562203</v>
      </c>
    </row>
    <row r="344" spans="1:3" x14ac:dyDescent="0.35">
      <c r="A344" t="s">
        <v>73</v>
      </c>
      <c r="B344" t="s">
        <v>121</v>
      </c>
      <c r="C344">
        <v>1584657</v>
      </c>
    </row>
    <row r="345" spans="1:3" x14ac:dyDescent="0.35">
      <c r="A345" t="s">
        <v>73</v>
      </c>
      <c r="B345" t="s">
        <v>122</v>
      </c>
      <c r="C345">
        <v>1603439</v>
      </c>
    </row>
    <row r="346" spans="1:3" x14ac:dyDescent="0.35">
      <c r="A346" t="s">
        <v>73</v>
      </c>
      <c r="B346" t="s">
        <v>123</v>
      </c>
      <c r="C346">
        <v>1640298</v>
      </c>
    </row>
    <row r="347" spans="1:3" x14ac:dyDescent="0.35">
      <c r="A347" t="s">
        <v>73</v>
      </c>
      <c r="B347" t="s">
        <v>118</v>
      </c>
      <c r="C347">
        <v>1669172</v>
      </c>
    </row>
    <row r="348" spans="1:3" x14ac:dyDescent="0.35">
      <c r="A348" t="s">
        <v>73</v>
      </c>
      <c r="B348" t="s">
        <v>125</v>
      </c>
      <c r="C348">
        <v>1700314</v>
      </c>
    </row>
    <row r="349" spans="1:3" x14ac:dyDescent="0.35">
      <c r="A349" t="s">
        <v>73</v>
      </c>
      <c r="B349" t="s">
        <v>124</v>
      </c>
      <c r="C349">
        <v>1726707</v>
      </c>
    </row>
    <row r="350" spans="1:3" x14ac:dyDescent="0.35">
      <c r="A350" t="s">
        <v>75</v>
      </c>
      <c r="B350" t="s">
        <v>113</v>
      </c>
      <c r="C350">
        <v>1499033</v>
      </c>
    </row>
    <row r="351" spans="1:3" x14ac:dyDescent="0.35">
      <c r="A351" t="s">
        <v>75</v>
      </c>
      <c r="B351" t="s">
        <v>114</v>
      </c>
      <c r="C351">
        <v>1520475</v>
      </c>
    </row>
    <row r="352" spans="1:3" x14ac:dyDescent="0.35">
      <c r="A352" t="s">
        <v>75</v>
      </c>
      <c r="B352" t="s">
        <v>115</v>
      </c>
      <c r="C352">
        <v>1474752</v>
      </c>
    </row>
    <row r="353" spans="1:3" x14ac:dyDescent="0.35">
      <c r="A353" t="s">
        <v>75</v>
      </c>
      <c r="B353" t="s">
        <v>117</v>
      </c>
      <c r="C353">
        <v>1454282</v>
      </c>
    </row>
    <row r="354" spans="1:3" x14ac:dyDescent="0.35">
      <c r="A354" t="s">
        <v>75</v>
      </c>
      <c r="B354" t="s">
        <v>119</v>
      </c>
      <c r="C354">
        <v>1425396</v>
      </c>
    </row>
    <row r="355" spans="1:3" x14ac:dyDescent="0.35">
      <c r="A355" t="s">
        <v>75</v>
      </c>
      <c r="B355" t="s">
        <v>120</v>
      </c>
      <c r="C355">
        <v>1402821</v>
      </c>
    </row>
    <row r="356" spans="1:3" x14ac:dyDescent="0.35">
      <c r="A356" t="s">
        <v>75</v>
      </c>
      <c r="B356" t="s">
        <v>121</v>
      </c>
      <c r="C356">
        <v>1423182</v>
      </c>
    </row>
    <row r="357" spans="1:3" x14ac:dyDescent="0.35">
      <c r="A357" t="s">
        <v>75</v>
      </c>
      <c r="B357" t="s">
        <v>122</v>
      </c>
      <c r="C357">
        <v>1440074</v>
      </c>
    </row>
    <row r="358" spans="1:3" x14ac:dyDescent="0.35">
      <c r="A358" t="s">
        <v>75</v>
      </c>
      <c r="B358" t="s">
        <v>123</v>
      </c>
      <c r="C358">
        <v>1464343</v>
      </c>
    </row>
    <row r="359" spans="1:3" x14ac:dyDescent="0.35">
      <c r="A359" t="s">
        <v>75</v>
      </c>
      <c r="B359" t="s">
        <v>118</v>
      </c>
      <c r="C359">
        <v>1488851</v>
      </c>
    </row>
    <row r="360" spans="1:3" x14ac:dyDescent="0.35">
      <c r="A360" t="s">
        <v>75</v>
      </c>
      <c r="B360" t="s">
        <v>125</v>
      </c>
      <c r="C360">
        <v>1515405</v>
      </c>
    </row>
    <row r="361" spans="1:3" x14ac:dyDescent="0.35">
      <c r="A361" t="s">
        <v>75</v>
      </c>
      <c r="B361" t="s">
        <v>124</v>
      </c>
      <c r="C361">
        <v>1539233</v>
      </c>
    </row>
    <row r="362" spans="1:3" x14ac:dyDescent="0.35">
      <c r="A362" t="s">
        <v>77</v>
      </c>
      <c r="B362" t="s">
        <v>113</v>
      </c>
      <c r="C362">
        <v>1177890</v>
      </c>
    </row>
    <row r="363" spans="1:3" x14ac:dyDescent="0.35">
      <c r="A363" t="s">
        <v>77</v>
      </c>
      <c r="B363" t="s">
        <v>114</v>
      </c>
      <c r="C363">
        <v>1197486</v>
      </c>
    </row>
    <row r="364" spans="1:3" x14ac:dyDescent="0.35">
      <c r="A364" t="s">
        <v>77</v>
      </c>
      <c r="B364" t="s">
        <v>115</v>
      </c>
      <c r="C364">
        <v>1153798</v>
      </c>
    </row>
    <row r="365" spans="1:3" x14ac:dyDescent="0.35">
      <c r="A365" t="s">
        <v>77</v>
      </c>
      <c r="B365" t="s">
        <v>117</v>
      </c>
      <c r="C365">
        <v>1133536</v>
      </c>
    </row>
    <row r="366" spans="1:3" x14ac:dyDescent="0.35">
      <c r="A366" t="s">
        <v>77</v>
      </c>
      <c r="B366" t="s">
        <v>119</v>
      </c>
      <c r="C366">
        <v>1101299</v>
      </c>
    </row>
    <row r="367" spans="1:3" x14ac:dyDescent="0.35">
      <c r="A367" t="s">
        <v>77</v>
      </c>
      <c r="B367" t="s">
        <v>120</v>
      </c>
      <c r="C367">
        <v>1078964</v>
      </c>
    </row>
    <row r="368" spans="1:3" x14ac:dyDescent="0.35">
      <c r="A368" t="s">
        <v>77</v>
      </c>
      <c r="B368" t="s">
        <v>121</v>
      </c>
      <c r="C368">
        <v>1089916</v>
      </c>
    </row>
    <row r="369" spans="1:3" x14ac:dyDescent="0.35">
      <c r="A369" t="s">
        <v>77</v>
      </c>
      <c r="B369" t="s">
        <v>122</v>
      </c>
      <c r="C369">
        <v>1104279</v>
      </c>
    </row>
    <row r="370" spans="1:3" x14ac:dyDescent="0.35">
      <c r="A370" t="s">
        <v>77</v>
      </c>
      <c r="B370" t="s">
        <v>123</v>
      </c>
      <c r="C370">
        <v>1135737</v>
      </c>
    </row>
    <row r="371" spans="1:3" x14ac:dyDescent="0.35">
      <c r="A371" t="s">
        <v>77</v>
      </c>
      <c r="B371" t="s">
        <v>118</v>
      </c>
      <c r="C371">
        <v>1161442</v>
      </c>
    </row>
    <row r="372" spans="1:3" x14ac:dyDescent="0.35">
      <c r="A372" t="s">
        <v>77</v>
      </c>
      <c r="B372" t="s">
        <v>125</v>
      </c>
      <c r="C372">
        <v>1189993</v>
      </c>
    </row>
    <row r="373" spans="1:3" x14ac:dyDescent="0.35">
      <c r="A373" t="s">
        <v>77</v>
      </c>
      <c r="B373" t="s">
        <v>124</v>
      </c>
      <c r="C373">
        <v>1213522</v>
      </c>
    </row>
    <row r="374" spans="1:3" x14ac:dyDescent="0.35">
      <c r="A374" t="s">
        <v>79</v>
      </c>
      <c r="B374" t="s">
        <v>113</v>
      </c>
      <c r="C374">
        <v>1343136</v>
      </c>
    </row>
    <row r="375" spans="1:3" x14ac:dyDescent="0.35">
      <c r="A375" t="s">
        <v>79</v>
      </c>
      <c r="B375" t="s">
        <v>114</v>
      </c>
      <c r="C375">
        <v>1362959</v>
      </c>
    </row>
    <row r="376" spans="1:3" x14ac:dyDescent="0.35">
      <c r="A376" t="s">
        <v>79</v>
      </c>
      <c r="B376" t="s">
        <v>115</v>
      </c>
      <c r="C376">
        <v>1319518</v>
      </c>
    </row>
    <row r="377" spans="1:3" x14ac:dyDescent="0.35">
      <c r="A377" t="s">
        <v>79</v>
      </c>
      <c r="B377" t="s">
        <v>117</v>
      </c>
      <c r="C377">
        <v>1298805</v>
      </c>
    </row>
    <row r="378" spans="1:3" x14ac:dyDescent="0.35">
      <c r="A378" t="s">
        <v>79</v>
      </c>
      <c r="B378" t="s">
        <v>119</v>
      </c>
      <c r="C378">
        <v>1267629</v>
      </c>
    </row>
    <row r="379" spans="1:3" x14ac:dyDescent="0.35">
      <c r="A379" t="s">
        <v>79</v>
      </c>
      <c r="B379" t="s">
        <v>120</v>
      </c>
      <c r="C379">
        <v>1245313</v>
      </c>
    </row>
    <row r="380" spans="1:3" x14ac:dyDescent="0.35">
      <c r="A380" t="s">
        <v>79</v>
      </c>
      <c r="B380" t="s">
        <v>121</v>
      </c>
      <c r="C380">
        <v>1261318</v>
      </c>
    </row>
    <row r="381" spans="1:3" x14ac:dyDescent="0.35">
      <c r="A381" t="s">
        <v>79</v>
      </c>
      <c r="B381" t="s">
        <v>122</v>
      </c>
      <c r="C381">
        <v>1276864</v>
      </c>
    </row>
    <row r="382" spans="1:3" x14ac:dyDescent="0.35">
      <c r="A382" t="s">
        <v>79</v>
      </c>
      <c r="B382" t="s">
        <v>123</v>
      </c>
      <c r="C382">
        <v>1308588</v>
      </c>
    </row>
    <row r="383" spans="1:3" x14ac:dyDescent="0.35">
      <c r="A383" t="s">
        <v>79</v>
      </c>
      <c r="B383" t="s">
        <v>118</v>
      </c>
      <c r="C383">
        <v>1333997</v>
      </c>
    </row>
    <row r="384" spans="1:3" x14ac:dyDescent="0.35">
      <c r="A384" t="s">
        <v>79</v>
      </c>
      <c r="B384" t="s">
        <v>125</v>
      </c>
      <c r="C384">
        <v>1361779</v>
      </c>
    </row>
    <row r="385" spans="1:3" x14ac:dyDescent="0.35">
      <c r="A385" t="s">
        <v>79</v>
      </c>
      <c r="B385" t="s">
        <v>124</v>
      </c>
      <c r="C385">
        <v>1385046</v>
      </c>
    </row>
    <row r="386" spans="1:3" x14ac:dyDescent="0.35">
      <c r="A386" t="s">
        <v>81</v>
      </c>
      <c r="B386" t="s">
        <v>113</v>
      </c>
      <c r="C386">
        <v>1070644</v>
      </c>
    </row>
    <row r="387" spans="1:3" x14ac:dyDescent="0.35">
      <c r="A387" t="s">
        <v>81</v>
      </c>
      <c r="B387" t="s">
        <v>114</v>
      </c>
      <c r="C387">
        <v>1084969</v>
      </c>
    </row>
    <row r="388" spans="1:3" x14ac:dyDescent="0.35">
      <c r="A388" t="s">
        <v>81</v>
      </c>
      <c r="B388" t="s">
        <v>115</v>
      </c>
      <c r="C388">
        <v>1054807</v>
      </c>
    </row>
    <row r="389" spans="1:3" x14ac:dyDescent="0.35">
      <c r="A389" t="s">
        <v>81</v>
      </c>
      <c r="B389" t="s">
        <v>117</v>
      </c>
      <c r="C389">
        <v>1040694</v>
      </c>
    </row>
    <row r="390" spans="1:3" x14ac:dyDescent="0.35">
      <c r="A390" t="s">
        <v>81</v>
      </c>
      <c r="B390" t="s">
        <v>119</v>
      </c>
      <c r="C390">
        <v>1020968</v>
      </c>
    </row>
    <row r="391" spans="1:3" x14ac:dyDescent="0.35">
      <c r="A391" t="s">
        <v>81</v>
      </c>
      <c r="B391" t="s">
        <v>120</v>
      </c>
      <c r="C391">
        <v>1005813</v>
      </c>
    </row>
    <row r="392" spans="1:3" x14ac:dyDescent="0.35">
      <c r="A392" t="s">
        <v>81</v>
      </c>
      <c r="B392" t="s">
        <v>121</v>
      </c>
      <c r="C392">
        <v>1021339</v>
      </c>
    </row>
    <row r="393" spans="1:3" x14ac:dyDescent="0.35">
      <c r="A393" t="s">
        <v>81</v>
      </c>
      <c r="B393" t="s">
        <v>122</v>
      </c>
      <c r="C393">
        <v>1033155</v>
      </c>
    </row>
    <row r="394" spans="1:3" x14ac:dyDescent="0.35">
      <c r="A394" t="s">
        <v>81</v>
      </c>
      <c r="B394" t="s">
        <v>123</v>
      </c>
      <c r="C394">
        <v>1051878</v>
      </c>
    </row>
    <row r="395" spans="1:3" x14ac:dyDescent="0.35">
      <c r="A395" t="s">
        <v>81</v>
      </c>
      <c r="B395" t="s">
        <v>118</v>
      </c>
      <c r="C395">
        <v>1068585</v>
      </c>
    </row>
    <row r="396" spans="1:3" x14ac:dyDescent="0.35">
      <c r="A396" t="s">
        <v>81</v>
      </c>
      <c r="B396" t="s">
        <v>125</v>
      </c>
      <c r="C396">
        <v>1086399</v>
      </c>
    </row>
    <row r="397" spans="1:3" x14ac:dyDescent="0.35">
      <c r="A397" t="s">
        <v>81</v>
      </c>
      <c r="B397" t="s">
        <v>124</v>
      </c>
      <c r="C397">
        <v>1102256</v>
      </c>
    </row>
    <row r="398" spans="1:3" x14ac:dyDescent="0.35">
      <c r="A398" t="s">
        <v>83</v>
      </c>
      <c r="B398" t="s">
        <v>113</v>
      </c>
      <c r="C398">
        <v>1815407</v>
      </c>
    </row>
    <row r="399" spans="1:3" x14ac:dyDescent="0.35">
      <c r="A399" t="s">
        <v>83</v>
      </c>
      <c r="B399" t="s">
        <v>114</v>
      </c>
      <c r="C399">
        <v>1838789</v>
      </c>
    </row>
    <row r="400" spans="1:3" x14ac:dyDescent="0.35">
      <c r="A400" t="s">
        <v>83</v>
      </c>
      <c r="B400" t="s">
        <v>115</v>
      </c>
      <c r="C400">
        <v>1788638</v>
      </c>
    </row>
    <row r="401" spans="1:3" x14ac:dyDescent="0.35">
      <c r="A401" t="s">
        <v>83</v>
      </c>
      <c r="B401" t="s">
        <v>117</v>
      </c>
      <c r="C401">
        <v>1764648</v>
      </c>
    </row>
    <row r="402" spans="1:3" x14ac:dyDescent="0.35">
      <c r="A402" t="s">
        <v>83</v>
      </c>
      <c r="B402" t="s">
        <v>119</v>
      </c>
      <c r="C402">
        <v>1732474</v>
      </c>
    </row>
    <row r="403" spans="1:3" x14ac:dyDescent="0.35">
      <c r="A403" t="s">
        <v>83</v>
      </c>
      <c r="B403" t="s">
        <v>120</v>
      </c>
      <c r="C403">
        <v>1707039</v>
      </c>
    </row>
    <row r="404" spans="1:3" x14ac:dyDescent="0.35">
      <c r="A404" t="s">
        <v>83</v>
      </c>
      <c r="B404" t="s">
        <v>121</v>
      </c>
      <c r="C404">
        <v>1734152</v>
      </c>
    </row>
    <row r="405" spans="1:3" x14ac:dyDescent="0.35">
      <c r="A405" t="s">
        <v>83</v>
      </c>
      <c r="B405" t="s">
        <v>122</v>
      </c>
      <c r="C405">
        <v>1753896</v>
      </c>
    </row>
    <row r="406" spans="1:3" x14ac:dyDescent="0.35">
      <c r="A406" t="s">
        <v>83</v>
      </c>
      <c r="B406" t="s">
        <v>123</v>
      </c>
      <c r="C406">
        <v>1785477</v>
      </c>
    </row>
    <row r="407" spans="1:3" x14ac:dyDescent="0.35">
      <c r="A407" t="s">
        <v>83</v>
      </c>
      <c r="B407" t="s">
        <v>118</v>
      </c>
      <c r="C407">
        <v>1813185</v>
      </c>
    </row>
    <row r="408" spans="1:3" x14ac:dyDescent="0.35">
      <c r="A408" t="s">
        <v>83</v>
      </c>
      <c r="B408" t="s">
        <v>125</v>
      </c>
      <c r="C408">
        <v>1842975</v>
      </c>
    </row>
    <row r="409" spans="1:3" x14ac:dyDescent="0.35">
      <c r="A409" t="s">
        <v>83</v>
      </c>
      <c r="B409" t="s">
        <v>124</v>
      </c>
      <c r="C409">
        <v>1869187</v>
      </c>
    </row>
    <row r="410" spans="1:3" x14ac:dyDescent="0.35">
      <c r="A410" t="s">
        <v>85</v>
      </c>
      <c r="B410" t="s">
        <v>113</v>
      </c>
      <c r="C410">
        <v>1368805</v>
      </c>
    </row>
    <row r="411" spans="1:3" x14ac:dyDescent="0.35">
      <c r="A411" t="s">
        <v>85</v>
      </c>
      <c r="B411" t="s">
        <v>114</v>
      </c>
      <c r="C411">
        <v>1389451</v>
      </c>
    </row>
    <row r="412" spans="1:3" x14ac:dyDescent="0.35">
      <c r="A412" t="s">
        <v>85</v>
      </c>
      <c r="B412" t="s">
        <v>115</v>
      </c>
      <c r="C412">
        <v>1344661</v>
      </c>
    </row>
    <row r="413" spans="1:3" x14ac:dyDescent="0.35">
      <c r="A413" t="s">
        <v>85</v>
      </c>
      <c r="B413" t="s">
        <v>117</v>
      </c>
      <c r="C413">
        <v>1323895</v>
      </c>
    </row>
    <row r="414" spans="1:3" x14ac:dyDescent="0.35">
      <c r="A414" t="s">
        <v>85</v>
      </c>
      <c r="B414" t="s">
        <v>119</v>
      </c>
      <c r="C414">
        <v>1292494</v>
      </c>
    </row>
    <row r="415" spans="1:3" x14ac:dyDescent="0.35">
      <c r="A415" t="s">
        <v>85</v>
      </c>
      <c r="B415" t="s">
        <v>120</v>
      </c>
      <c r="C415">
        <v>1269809</v>
      </c>
    </row>
    <row r="416" spans="1:3" x14ac:dyDescent="0.35">
      <c r="A416" t="s">
        <v>85</v>
      </c>
      <c r="B416" t="s">
        <v>121</v>
      </c>
      <c r="C416">
        <v>1286033</v>
      </c>
    </row>
    <row r="417" spans="1:3" x14ac:dyDescent="0.35">
      <c r="A417" t="s">
        <v>85</v>
      </c>
      <c r="B417" t="s">
        <v>122</v>
      </c>
      <c r="C417">
        <v>1301958</v>
      </c>
    </row>
    <row r="418" spans="1:3" x14ac:dyDescent="0.35">
      <c r="A418" t="s">
        <v>85</v>
      </c>
      <c r="B418" t="s">
        <v>123</v>
      </c>
      <c r="C418">
        <v>1332024</v>
      </c>
    </row>
    <row r="419" spans="1:3" x14ac:dyDescent="0.35">
      <c r="A419" t="s">
        <v>85</v>
      </c>
      <c r="B419" t="s">
        <v>118</v>
      </c>
      <c r="C419">
        <v>1357665</v>
      </c>
    </row>
    <row r="420" spans="1:3" x14ac:dyDescent="0.35">
      <c r="A420" t="s">
        <v>85</v>
      </c>
      <c r="B420" t="s">
        <v>125</v>
      </c>
      <c r="C420">
        <v>1385650</v>
      </c>
    </row>
    <row r="421" spans="1:3" x14ac:dyDescent="0.35">
      <c r="A421" t="s">
        <v>85</v>
      </c>
      <c r="B421" t="s">
        <v>124</v>
      </c>
      <c r="C421">
        <v>1409524</v>
      </c>
    </row>
    <row r="422" spans="1:3" x14ac:dyDescent="0.35">
      <c r="A422" t="s">
        <v>87</v>
      </c>
      <c r="B422" t="s">
        <v>113</v>
      </c>
      <c r="C422">
        <v>1675738</v>
      </c>
    </row>
    <row r="423" spans="1:3" x14ac:dyDescent="0.35">
      <c r="A423" t="s">
        <v>87</v>
      </c>
      <c r="B423" t="s">
        <v>114</v>
      </c>
      <c r="C423">
        <v>1696172</v>
      </c>
    </row>
    <row r="424" spans="1:3" x14ac:dyDescent="0.35">
      <c r="A424" t="s">
        <v>87</v>
      </c>
      <c r="B424" t="s">
        <v>115</v>
      </c>
      <c r="C424">
        <v>1653542</v>
      </c>
    </row>
    <row r="425" spans="1:3" x14ac:dyDescent="0.35">
      <c r="A425" t="s">
        <v>87</v>
      </c>
      <c r="B425" t="s">
        <v>117</v>
      </c>
      <c r="C425">
        <v>1633345</v>
      </c>
    </row>
    <row r="426" spans="1:3" x14ac:dyDescent="0.35">
      <c r="A426" t="s">
        <v>87</v>
      </c>
      <c r="B426" t="s">
        <v>119</v>
      </c>
      <c r="C426">
        <v>1607586</v>
      </c>
    </row>
    <row r="427" spans="1:3" x14ac:dyDescent="0.35">
      <c r="A427" t="s">
        <v>87</v>
      </c>
      <c r="B427" t="s">
        <v>120</v>
      </c>
      <c r="C427">
        <v>1586251</v>
      </c>
    </row>
    <row r="428" spans="1:3" x14ac:dyDescent="0.35">
      <c r="A428" t="s">
        <v>87</v>
      </c>
      <c r="B428" t="s">
        <v>121</v>
      </c>
      <c r="C428">
        <v>1613455</v>
      </c>
    </row>
    <row r="429" spans="1:3" x14ac:dyDescent="0.35">
      <c r="A429" t="s">
        <v>87</v>
      </c>
      <c r="B429" t="s">
        <v>122</v>
      </c>
      <c r="C429">
        <v>1631239</v>
      </c>
    </row>
    <row r="430" spans="1:3" x14ac:dyDescent="0.35">
      <c r="A430" t="s">
        <v>87</v>
      </c>
      <c r="B430" t="s">
        <v>123</v>
      </c>
      <c r="C430">
        <v>1655453</v>
      </c>
    </row>
    <row r="431" spans="1:3" x14ac:dyDescent="0.35">
      <c r="A431" t="s">
        <v>87</v>
      </c>
      <c r="B431" t="s">
        <v>118</v>
      </c>
      <c r="C431">
        <v>1678244</v>
      </c>
    </row>
    <row r="432" spans="1:3" x14ac:dyDescent="0.35">
      <c r="A432" t="s">
        <v>87</v>
      </c>
      <c r="B432" t="s">
        <v>125</v>
      </c>
      <c r="C432">
        <v>1702270</v>
      </c>
    </row>
    <row r="433" spans="1:3" x14ac:dyDescent="0.35">
      <c r="A433" t="s">
        <v>87</v>
      </c>
      <c r="B433" t="s">
        <v>124</v>
      </c>
      <c r="C433">
        <v>1724312</v>
      </c>
    </row>
    <row r="434" spans="1:3" x14ac:dyDescent="0.35">
      <c r="A434" t="s">
        <v>90</v>
      </c>
      <c r="B434" t="s">
        <v>113</v>
      </c>
      <c r="C434">
        <v>1493878</v>
      </c>
    </row>
    <row r="435" spans="1:3" x14ac:dyDescent="0.35">
      <c r="A435" t="s">
        <v>90</v>
      </c>
      <c r="B435" t="s">
        <v>114</v>
      </c>
      <c r="C435">
        <v>1513901</v>
      </c>
    </row>
    <row r="436" spans="1:3" x14ac:dyDescent="0.35">
      <c r="A436" t="s">
        <v>90</v>
      </c>
      <c r="B436" t="s">
        <v>115</v>
      </c>
      <c r="C436">
        <v>1471501</v>
      </c>
    </row>
    <row r="437" spans="1:3" x14ac:dyDescent="0.35">
      <c r="A437" t="s">
        <v>90</v>
      </c>
      <c r="B437" t="s">
        <v>117</v>
      </c>
      <c r="C437">
        <v>1451060</v>
      </c>
    </row>
    <row r="438" spans="1:3" x14ac:dyDescent="0.35">
      <c r="A438" t="s">
        <v>90</v>
      </c>
      <c r="B438" t="s">
        <v>119</v>
      </c>
      <c r="C438">
        <v>1421657</v>
      </c>
    </row>
    <row r="439" spans="1:3" x14ac:dyDescent="0.35">
      <c r="A439" t="s">
        <v>90</v>
      </c>
      <c r="B439" t="s">
        <v>120</v>
      </c>
      <c r="C439">
        <v>1399971</v>
      </c>
    </row>
    <row r="440" spans="1:3" x14ac:dyDescent="0.35">
      <c r="A440" t="s">
        <v>90</v>
      </c>
      <c r="B440" t="s">
        <v>121</v>
      </c>
      <c r="C440">
        <v>1420991</v>
      </c>
    </row>
    <row r="441" spans="1:3" x14ac:dyDescent="0.35">
      <c r="A441" t="s">
        <v>90</v>
      </c>
      <c r="B441" t="s">
        <v>122</v>
      </c>
      <c r="C441">
        <v>1437590</v>
      </c>
    </row>
    <row r="442" spans="1:3" x14ac:dyDescent="0.35">
      <c r="A442" t="s">
        <v>90</v>
      </c>
      <c r="B442" t="s">
        <v>123</v>
      </c>
      <c r="C442">
        <v>1467935</v>
      </c>
    </row>
    <row r="443" spans="1:3" x14ac:dyDescent="0.35">
      <c r="A443" t="s">
        <v>90</v>
      </c>
      <c r="B443" t="s">
        <v>118</v>
      </c>
      <c r="C443">
        <v>1492389</v>
      </c>
    </row>
    <row r="444" spans="1:3" x14ac:dyDescent="0.35">
      <c r="A444" t="s">
        <v>90</v>
      </c>
      <c r="B444" t="s">
        <v>125</v>
      </c>
      <c r="C444">
        <v>1518470</v>
      </c>
    </row>
    <row r="445" spans="1:3" x14ac:dyDescent="0.35">
      <c r="A445" t="s">
        <v>90</v>
      </c>
      <c r="B445" t="s">
        <v>124</v>
      </c>
      <c r="C445">
        <v>1541055</v>
      </c>
    </row>
    <row r="446" spans="1:3" x14ac:dyDescent="0.35">
      <c r="A446" t="s">
        <v>92</v>
      </c>
      <c r="B446" t="s">
        <v>113</v>
      </c>
      <c r="C446">
        <v>1496987</v>
      </c>
    </row>
    <row r="447" spans="1:3" x14ac:dyDescent="0.35">
      <c r="A447" t="s">
        <v>92</v>
      </c>
      <c r="B447" t="s">
        <v>114</v>
      </c>
      <c r="C447">
        <v>1518062</v>
      </c>
    </row>
    <row r="448" spans="1:3" x14ac:dyDescent="0.35">
      <c r="A448" t="s">
        <v>92</v>
      </c>
      <c r="B448" t="s">
        <v>115</v>
      </c>
      <c r="C448">
        <v>1471975</v>
      </c>
    </row>
    <row r="449" spans="1:3" x14ac:dyDescent="0.35">
      <c r="A449" t="s">
        <v>92</v>
      </c>
      <c r="B449" t="s">
        <v>117</v>
      </c>
      <c r="C449">
        <v>1449628</v>
      </c>
    </row>
    <row r="450" spans="1:3" x14ac:dyDescent="0.35">
      <c r="A450" t="s">
        <v>92</v>
      </c>
      <c r="B450" t="s">
        <v>119</v>
      </c>
      <c r="C450">
        <v>1416836</v>
      </c>
    </row>
    <row r="451" spans="1:3" x14ac:dyDescent="0.35">
      <c r="A451" t="s">
        <v>92</v>
      </c>
      <c r="B451" t="s">
        <v>120</v>
      </c>
      <c r="C451">
        <v>1393040</v>
      </c>
    </row>
    <row r="452" spans="1:3" x14ac:dyDescent="0.35">
      <c r="A452" t="s">
        <v>92</v>
      </c>
      <c r="B452" t="s">
        <v>121</v>
      </c>
      <c r="C452">
        <v>1412157</v>
      </c>
    </row>
    <row r="453" spans="1:3" x14ac:dyDescent="0.35">
      <c r="A453" t="s">
        <v>92</v>
      </c>
      <c r="B453" t="s">
        <v>122</v>
      </c>
      <c r="C453">
        <v>1429161</v>
      </c>
    </row>
    <row r="454" spans="1:3" x14ac:dyDescent="0.35">
      <c r="A454" t="s">
        <v>92</v>
      </c>
      <c r="B454" t="s">
        <v>123</v>
      </c>
      <c r="C454">
        <v>1463471</v>
      </c>
    </row>
    <row r="455" spans="1:3" x14ac:dyDescent="0.35">
      <c r="A455" t="s">
        <v>92</v>
      </c>
      <c r="B455" t="s">
        <v>118</v>
      </c>
      <c r="C455">
        <v>1490454</v>
      </c>
    </row>
    <row r="456" spans="1:3" x14ac:dyDescent="0.35">
      <c r="A456" t="s">
        <v>92</v>
      </c>
      <c r="B456" t="s">
        <v>125</v>
      </c>
      <c r="C456">
        <v>1519826</v>
      </c>
    </row>
    <row r="457" spans="1:3" x14ac:dyDescent="0.35">
      <c r="A457" t="s">
        <v>92</v>
      </c>
      <c r="B457" t="s">
        <v>124</v>
      </c>
      <c r="C457">
        <v>1544463</v>
      </c>
    </row>
    <row r="458" spans="1:3" x14ac:dyDescent="0.35">
      <c r="A458" t="s">
        <v>94</v>
      </c>
      <c r="B458" t="s">
        <v>113</v>
      </c>
      <c r="C458">
        <v>1332395</v>
      </c>
    </row>
    <row r="459" spans="1:3" x14ac:dyDescent="0.35">
      <c r="A459" t="s">
        <v>94</v>
      </c>
      <c r="B459" t="s">
        <v>114</v>
      </c>
      <c r="C459">
        <v>1352920</v>
      </c>
    </row>
    <row r="460" spans="1:3" x14ac:dyDescent="0.35">
      <c r="A460" t="s">
        <v>94</v>
      </c>
      <c r="B460" t="s">
        <v>115</v>
      </c>
      <c r="C460">
        <v>1307171</v>
      </c>
    </row>
    <row r="461" spans="1:3" x14ac:dyDescent="0.35">
      <c r="A461" t="s">
        <v>94</v>
      </c>
      <c r="B461" t="s">
        <v>117</v>
      </c>
      <c r="C461">
        <v>1285376</v>
      </c>
    </row>
    <row r="462" spans="1:3" x14ac:dyDescent="0.35">
      <c r="A462" t="s">
        <v>94</v>
      </c>
      <c r="B462" t="s">
        <v>119</v>
      </c>
      <c r="C462">
        <v>1251992</v>
      </c>
    </row>
    <row r="463" spans="1:3" x14ac:dyDescent="0.35">
      <c r="A463" t="s">
        <v>94</v>
      </c>
      <c r="B463" t="s">
        <v>120</v>
      </c>
      <c r="C463">
        <v>1228401</v>
      </c>
    </row>
    <row r="464" spans="1:3" x14ac:dyDescent="0.35">
      <c r="A464" t="s">
        <v>94</v>
      </c>
      <c r="B464" t="s">
        <v>121</v>
      </c>
      <c r="C464">
        <v>1242815</v>
      </c>
    </row>
    <row r="465" spans="1:3" x14ac:dyDescent="0.35">
      <c r="A465" t="s">
        <v>94</v>
      </c>
      <c r="B465" t="s">
        <v>122</v>
      </c>
      <c r="C465">
        <v>1258541</v>
      </c>
    </row>
    <row r="466" spans="1:3" x14ac:dyDescent="0.35">
      <c r="A466" t="s">
        <v>94</v>
      </c>
      <c r="B466" t="s">
        <v>123</v>
      </c>
      <c r="C466">
        <v>1292571</v>
      </c>
    </row>
    <row r="467" spans="1:3" x14ac:dyDescent="0.35">
      <c r="A467" t="s">
        <v>94</v>
      </c>
      <c r="B467" t="s">
        <v>118</v>
      </c>
      <c r="C467">
        <v>1319556</v>
      </c>
    </row>
    <row r="468" spans="1:3" x14ac:dyDescent="0.35">
      <c r="A468" t="s">
        <v>94</v>
      </c>
      <c r="B468" t="s">
        <v>125</v>
      </c>
      <c r="C468">
        <v>1349381</v>
      </c>
    </row>
    <row r="469" spans="1:3" x14ac:dyDescent="0.35">
      <c r="A469" t="s">
        <v>94</v>
      </c>
      <c r="B469" t="s">
        <v>124</v>
      </c>
      <c r="C469">
        <v>1373953</v>
      </c>
    </row>
    <row r="470" spans="1:3" x14ac:dyDescent="0.35">
      <c r="A470" t="s">
        <v>96</v>
      </c>
      <c r="B470" t="s">
        <v>113</v>
      </c>
      <c r="C470">
        <v>1318980</v>
      </c>
    </row>
    <row r="471" spans="1:3" x14ac:dyDescent="0.35">
      <c r="A471" t="s">
        <v>96</v>
      </c>
      <c r="B471" t="s">
        <v>114</v>
      </c>
      <c r="C471">
        <v>1337217</v>
      </c>
    </row>
    <row r="472" spans="1:3" x14ac:dyDescent="0.35">
      <c r="A472" t="s">
        <v>96</v>
      </c>
      <c r="B472" t="s">
        <v>115</v>
      </c>
      <c r="C472">
        <v>1299404</v>
      </c>
    </row>
    <row r="473" spans="1:3" x14ac:dyDescent="0.35">
      <c r="A473" t="s">
        <v>96</v>
      </c>
      <c r="B473" t="s">
        <v>117</v>
      </c>
      <c r="C473">
        <v>1282306</v>
      </c>
    </row>
    <row r="474" spans="1:3" x14ac:dyDescent="0.35">
      <c r="A474" t="s">
        <v>96</v>
      </c>
      <c r="B474" t="s">
        <v>119</v>
      </c>
      <c r="C474">
        <v>1257943</v>
      </c>
    </row>
    <row r="475" spans="1:3" x14ac:dyDescent="0.35">
      <c r="A475" t="s">
        <v>96</v>
      </c>
      <c r="B475" t="s">
        <v>120</v>
      </c>
      <c r="C475">
        <v>1239254</v>
      </c>
    </row>
    <row r="476" spans="1:3" x14ac:dyDescent="0.35">
      <c r="A476" t="s">
        <v>96</v>
      </c>
      <c r="B476" t="s">
        <v>121</v>
      </c>
      <c r="C476">
        <v>1258105</v>
      </c>
    </row>
    <row r="477" spans="1:3" x14ac:dyDescent="0.35">
      <c r="A477" t="s">
        <v>96</v>
      </c>
      <c r="B477" t="s">
        <v>122</v>
      </c>
      <c r="C477">
        <v>1272802</v>
      </c>
    </row>
    <row r="478" spans="1:3" x14ac:dyDescent="0.35">
      <c r="A478" t="s">
        <v>96</v>
      </c>
      <c r="B478" t="s">
        <v>123</v>
      </c>
      <c r="C478">
        <v>1294175</v>
      </c>
    </row>
    <row r="479" spans="1:3" x14ac:dyDescent="0.35">
      <c r="A479" t="s">
        <v>96</v>
      </c>
      <c r="B479" t="s">
        <v>118</v>
      </c>
      <c r="C479">
        <v>1314727</v>
      </c>
    </row>
    <row r="480" spans="1:3" x14ac:dyDescent="0.35">
      <c r="A480" t="s">
        <v>96</v>
      </c>
      <c r="B480" t="s">
        <v>125</v>
      </c>
      <c r="C480">
        <v>1336522</v>
      </c>
    </row>
    <row r="481" spans="1:3" x14ac:dyDescent="0.35">
      <c r="A481" t="s">
        <v>96</v>
      </c>
      <c r="B481" t="s">
        <v>124</v>
      </c>
      <c r="C481">
        <v>1356360</v>
      </c>
    </row>
  </sheetData>
  <mergeCells count="1">
    <mergeCell ref="J2:R3"/>
  </mergeCells>
  <dataValidations count="1">
    <dataValidation type="list" allowBlank="1" showInputMessage="1" showErrorMessage="1" sqref="L25" xr:uid="{7404D03B-E9A2-4418-A511-697869A869BB}">
      <formula1>$B$2:$B$481</formula1>
    </dataValidation>
  </dataValidations>
  <pageMargins left="0.75" right="0.75" top="1" bottom="1" header="0.5" footer="0.5"/>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2"/>
  <sheetViews>
    <sheetView zoomScale="70" zoomScaleNormal="70" workbookViewId="0">
      <selection activeCell="H3" sqref="H3"/>
    </sheetView>
  </sheetViews>
  <sheetFormatPr defaultRowHeight="14.5" x14ac:dyDescent="0.35"/>
  <cols>
    <col min="1" max="3" width="22" customWidth="1"/>
    <col min="4" max="4" width="22" style="13" customWidth="1"/>
    <col min="8" max="8" width="12.453125" bestFit="1" customWidth="1"/>
    <col min="9" max="9" width="12.1796875" bestFit="1" customWidth="1"/>
    <col min="10" max="10" width="19.81640625" bestFit="1" customWidth="1"/>
  </cols>
  <sheetData>
    <row r="1" spans="1:10" x14ac:dyDescent="0.35">
      <c r="A1" s="1" t="s">
        <v>5</v>
      </c>
      <c r="B1" s="1" t="s">
        <v>126</v>
      </c>
      <c r="C1" s="1" t="s">
        <v>127</v>
      </c>
      <c r="D1" s="12" t="s">
        <v>128</v>
      </c>
    </row>
    <row r="2" spans="1:10" x14ac:dyDescent="0.35">
      <c r="A2" t="s">
        <v>14</v>
      </c>
      <c r="B2">
        <v>7954271</v>
      </c>
      <c r="C2">
        <v>31.59</v>
      </c>
      <c r="D2" s="13">
        <f t="shared" ref="D2:D41" si="0">B2*C2</f>
        <v>251275420.88999999</v>
      </c>
      <c r="H2" s="18" t="s">
        <v>129</v>
      </c>
      <c r="I2" s="18"/>
      <c r="J2" s="18"/>
    </row>
    <row r="3" spans="1:10" x14ac:dyDescent="0.35">
      <c r="A3" t="s">
        <v>17</v>
      </c>
      <c r="B3">
        <v>12456085</v>
      </c>
      <c r="C3">
        <v>31.59</v>
      </c>
      <c r="D3" s="13">
        <f t="shared" si="0"/>
        <v>393487725.14999998</v>
      </c>
      <c r="H3" s="3" t="s">
        <v>89</v>
      </c>
      <c r="I3" t="s">
        <v>130</v>
      </c>
      <c r="J3" t="s">
        <v>131</v>
      </c>
    </row>
    <row r="4" spans="1:10" x14ac:dyDescent="0.35">
      <c r="A4" t="s">
        <v>20</v>
      </c>
      <c r="B4">
        <v>13605312</v>
      </c>
      <c r="C4">
        <v>31.59</v>
      </c>
      <c r="D4" s="13">
        <f t="shared" si="0"/>
        <v>429791806.07999998</v>
      </c>
      <c r="H4" s="4" t="s">
        <v>83</v>
      </c>
      <c r="I4">
        <v>21445867</v>
      </c>
      <c r="J4" s="13">
        <v>677474938.52999997</v>
      </c>
    </row>
    <row r="5" spans="1:10" x14ac:dyDescent="0.35">
      <c r="A5" t="s">
        <v>23</v>
      </c>
      <c r="B5">
        <v>13526124</v>
      </c>
      <c r="C5">
        <v>31.59</v>
      </c>
      <c r="D5" s="13">
        <f t="shared" si="0"/>
        <v>427290257.16000003</v>
      </c>
      <c r="H5" s="4" t="s">
        <v>87</v>
      </c>
      <c r="I5">
        <v>19857607</v>
      </c>
      <c r="J5" s="13">
        <v>627301805.13</v>
      </c>
    </row>
    <row r="6" spans="1:10" x14ac:dyDescent="0.35">
      <c r="A6" t="s">
        <v>26</v>
      </c>
      <c r="B6">
        <v>13547086</v>
      </c>
      <c r="C6">
        <v>31.59</v>
      </c>
      <c r="D6" s="13">
        <f t="shared" si="0"/>
        <v>427952446.74000001</v>
      </c>
      <c r="H6" s="4" t="s">
        <v>73</v>
      </c>
      <c r="I6">
        <v>19712984</v>
      </c>
      <c r="J6" s="13">
        <v>622733164.55999994</v>
      </c>
    </row>
    <row r="7" spans="1:10" x14ac:dyDescent="0.35">
      <c r="A7" t="s">
        <v>28</v>
      </c>
      <c r="B7">
        <v>12034675</v>
      </c>
      <c r="C7">
        <v>31.59</v>
      </c>
      <c r="D7" s="13">
        <f t="shared" si="0"/>
        <v>380175383.25</v>
      </c>
      <c r="H7" s="4" t="s">
        <v>75</v>
      </c>
      <c r="I7">
        <v>17647847</v>
      </c>
      <c r="J7" s="13">
        <v>557495486.73000002</v>
      </c>
    </row>
    <row r="8" spans="1:10" x14ac:dyDescent="0.35">
      <c r="A8" t="s">
        <v>30</v>
      </c>
      <c r="B8">
        <v>12096179</v>
      </c>
      <c r="C8">
        <v>31.59</v>
      </c>
      <c r="D8" s="13">
        <f t="shared" si="0"/>
        <v>382118294.61000001</v>
      </c>
      <c r="H8" s="4" t="s">
        <v>90</v>
      </c>
      <c r="I8">
        <v>17630398</v>
      </c>
      <c r="J8" s="13">
        <v>556944272.82000005</v>
      </c>
    </row>
    <row r="9" spans="1:10" x14ac:dyDescent="0.35">
      <c r="A9" t="s">
        <v>32</v>
      </c>
      <c r="B9">
        <v>10047349</v>
      </c>
      <c r="C9">
        <v>31.59</v>
      </c>
      <c r="D9" s="13">
        <f t="shared" si="0"/>
        <v>317395754.91000003</v>
      </c>
      <c r="H9" s="4" t="s">
        <v>98</v>
      </c>
      <c r="I9">
        <v>96294703</v>
      </c>
      <c r="J9" s="13">
        <v>3041949667.77</v>
      </c>
    </row>
    <row r="10" spans="1:10" x14ac:dyDescent="0.35">
      <c r="A10" t="s">
        <v>35</v>
      </c>
      <c r="B10">
        <v>7570998</v>
      </c>
      <c r="C10">
        <v>31.59</v>
      </c>
      <c r="D10" s="13">
        <f t="shared" si="0"/>
        <v>239167826.81999999</v>
      </c>
    </row>
    <row r="11" spans="1:10" x14ac:dyDescent="0.35">
      <c r="A11" t="s">
        <v>37</v>
      </c>
      <c r="B11">
        <v>9471933</v>
      </c>
      <c r="C11">
        <v>31.59</v>
      </c>
      <c r="D11" s="13">
        <f t="shared" si="0"/>
        <v>299218363.46999997</v>
      </c>
    </row>
    <row r="12" spans="1:10" x14ac:dyDescent="0.35">
      <c r="A12" t="s">
        <v>39</v>
      </c>
      <c r="B12">
        <v>14147787</v>
      </c>
      <c r="C12">
        <v>31.59</v>
      </c>
      <c r="D12" s="13">
        <f t="shared" si="0"/>
        <v>446928591.32999998</v>
      </c>
    </row>
    <row r="13" spans="1:10" x14ac:dyDescent="0.35">
      <c r="A13" t="s">
        <v>41</v>
      </c>
      <c r="B13">
        <v>14759616</v>
      </c>
      <c r="C13">
        <v>31.59</v>
      </c>
      <c r="D13" s="13">
        <f t="shared" si="0"/>
        <v>466256269.44</v>
      </c>
    </row>
    <row r="14" spans="1:10" x14ac:dyDescent="0.35">
      <c r="A14" t="s">
        <v>43</v>
      </c>
      <c r="B14">
        <v>12946379</v>
      </c>
      <c r="C14">
        <v>31.59</v>
      </c>
      <c r="D14" s="13">
        <f t="shared" si="0"/>
        <v>408976112.61000001</v>
      </c>
    </row>
    <row r="15" spans="1:10" x14ac:dyDescent="0.35">
      <c r="A15" t="s">
        <v>46</v>
      </c>
      <c r="B15">
        <v>10627764</v>
      </c>
      <c r="C15">
        <v>31.59</v>
      </c>
      <c r="D15" s="13">
        <f t="shared" si="0"/>
        <v>335731064.75999999</v>
      </c>
    </row>
    <row r="16" spans="1:10" x14ac:dyDescent="0.35">
      <c r="A16" t="s">
        <v>49</v>
      </c>
      <c r="B16">
        <v>11566135</v>
      </c>
      <c r="C16">
        <v>31.59</v>
      </c>
      <c r="D16" s="13">
        <f t="shared" si="0"/>
        <v>365374204.64999998</v>
      </c>
    </row>
    <row r="17" spans="1:4" x14ac:dyDescent="0.35">
      <c r="A17" t="s">
        <v>52</v>
      </c>
      <c r="B17">
        <v>10309019</v>
      </c>
      <c r="C17">
        <v>31.59</v>
      </c>
      <c r="D17" s="13">
        <f t="shared" si="0"/>
        <v>325661910.20999998</v>
      </c>
    </row>
    <row r="18" spans="1:4" x14ac:dyDescent="0.35">
      <c r="A18" t="s">
        <v>58</v>
      </c>
      <c r="B18">
        <v>6093566</v>
      </c>
      <c r="C18">
        <v>31.59</v>
      </c>
      <c r="D18" s="13">
        <f t="shared" si="0"/>
        <v>192495749.94</v>
      </c>
    </row>
    <row r="19" spans="1:4" x14ac:dyDescent="0.35">
      <c r="A19" t="s">
        <v>59</v>
      </c>
      <c r="B19">
        <v>5705675</v>
      </c>
      <c r="C19">
        <v>31.59</v>
      </c>
      <c r="D19" s="13">
        <f t="shared" si="0"/>
        <v>180242273.25</v>
      </c>
    </row>
    <row r="20" spans="1:4" x14ac:dyDescent="0.35">
      <c r="A20" t="s">
        <v>60</v>
      </c>
      <c r="B20">
        <v>5863373</v>
      </c>
      <c r="C20">
        <v>31.59</v>
      </c>
      <c r="D20" s="13">
        <f t="shared" si="0"/>
        <v>185223953.06999999</v>
      </c>
    </row>
    <row r="21" spans="1:4" x14ac:dyDescent="0.35">
      <c r="A21" t="s">
        <v>62</v>
      </c>
      <c r="B21">
        <v>8750618</v>
      </c>
      <c r="C21">
        <v>31.59</v>
      </c>
      <c r="D21" s="13">
        <f t="shared" si="0"/>
        <v>276432022.62</v>
      </c>
    </row>
    <row r="22" spans="1:4" x14ac:dyDescent="0.35">
      <c r="A22" t="s">
        <v>63</v>
      </c>
      <c r="B22">
        <v>6722569</v>
      </c>
      <c r="C22">
        <v>31.59</v>
      </c>
      <c r="D22" s="13">
        <f t="shared" si="0"/>
        <v>212365954.71000001</v>
      </c>
    </row>
    <row r="23" spans="1:4" x14ac:dyDescent="0.35">
      <c r="A23" t="s">
        <v>64</v>
      </c>
      <c r="B23">
        <v>8539689</v>
      </c>
      <c r="C23">
        <v>31.59</v>
      </c>
      <c r="D23" s="13">
        <f t="shared" si="0"/>
        <v>269768775.50999999</v>
      </c>
    </row>
    <row r="24" spans="1:4" x14ac:dyDescent="0.35">
      <c r="A24" t="s">
        <v>65</v>
      </c>
      <c r="B24">
        <v>5401127</v>
      </c>
      <c r="C24">
        <v>31.59</v>
      </c>
      <c r="D24" s="13">
        <f t="shared" si="0"/>
        <v>170621601.93000001</v>
      </c>
    </row>
    <row r="25" spans="1:4" x14ac:dyDescent="0.35">
      <c r="A25" t="s">
        <v>67</v>
      </c>
      <c r="B25">
        <v>9093888</v>
      </c>
      <c r="C25">
        <v>31.59</v>
      </c>
      <c r="D25" s="13">
        <f t="shared" si="0"/>
        <v>287275921.92000002</v>
      </c>
    </row>
    <row r="26" spans="1:4" x14ac:dyDescent="0.35">
      <c r="A26" t="s">
        <v>68</v>
      </c>
      <c r="B26">
        <v>9489501</v>
      </c>
      <c r="C26">
        <v>31.59</v>
      </c>
      <c r="D26" s="13">
        <f t="shared" si="0"/>
        <v>299773336.58999997</v>
      </c>
    </row>
    <row r="27" spans="1:4" x14ac:dyDescent="0.35">
      <c r="A27" t="s">
        <v>69</v>
      </c>
      <c r="B27">
        <v>5290218</v>
      </c>
      <c r="C27">
        <v>31.59</v>
      </c>
      <c r="D27" s="13">
        <f t="shared" si="0"/>
        <v>167117986.62</v>
      </c>
    </row>
    <row r="28" spans="1:4" x14ac:dyDescent="0.35">
      <c r="A28" t="s">
        <v>70</v>
      </c>
      <c r="B28">
        <v>7726178</v>
      </c>
      <c r="C28">
        <v>31.59</v>
      </c>
      <c r="D28" s="13">
        <f t="shared" si="0"/>
        <v>244069963.02000001</v>
      </c>
    </row>
    <row r="29" spans="1:4" x14ac:dyDescent="0.35">
      <c r="A29" t="s">
        <v>71</v>
      </c>
      <c r="B29">
        <v>6459930</v>
      </c>
      <c r="C29">
        <v>31.59</v>
      </c>
      <c r="D29" s="13">
        <f t="shared" si="0"/>
        <v>204069188.69999999</v>
      </c>
    </row>
    <row r="30" spans="1:4" x14ac:dyDescent="0.35">
      <c r="A30" t="s">
        <v>73</v>
      </c>
      <c r="B30">
        <v>19712984</v>
      </c>
      <c r="C30">
        <v>31.59</v>
      </c>
      <c r="D30" s="13">
        <f t="shared" si="0"/>
        <v>622733164.55999994</v>
      </c>
    </row>
    <row r="31" spans="1:4" x14ac:dyDescent="0.35">
      <c r="A31" t="s">
        <v>75</v>
      </c>
      <c r="B31">
        <v>17647847</v>
      </c>
      <c r="C31">
        <v>31.59</v>
      </c>
      <c r="D31" s="13">
        <f t="shared" si="0"/>
        <v>557495486.73000002</v>
      </c>
    </row>
    <row r="32" spans="1:4" x14ac:dyDescent="0.35">
      <c r="A32" t="s">
        <v>77</v>
      </c>
      <c r="B32">
        <v>13737862</v>
      </c>
      <c r="C32">
        <v>31.59</v>
      </c>
      <c r="D32" s="13">
        <f t="shared" si="0"/>
        <v>433979060.57999998</v>
      </c>
    </row>
    <row r="33" spans="1:4" x14ac:dyDescent="0.35">
      <c r="A33" t="s">
        <v>79</v>
      </c>
      <c r="B33">
        <v>15764952</v>
      </c>
      <c r="C33">
        <v>31.59</v>
      </c>
      <c r="D33" s="13">
        <f t="shared" si="0"/>
        <v>498014833.68000001</v>
      </c>
    </row>
    <row r="34" spans="1:4" x14ac:dyDescent="0.35">
      <c r="A34" t="s">
        <v>81</v>
      </c>
      <c r="B34">
        <v>12641507</v>
      </c>
      <c r="C34">
        <v>31.59</v>
      </c>
      <c r="D34" s="13">
        <f t="shared" si="0"/>
        <v>399345206.13</v>
      </c>
    </row>
    <row r="35" spans="1:4" x14ac:dyDescent="0.35">
      <c r="A35" t="s">
        <v>83</v>
      </c>
      <c r="B35">
        <v>21445867</v>
      </c>
      <c r="C35">
        <v>31.59</v>
      </c>
      <c r="D35" s="13">
        <f t="shared" si="0"/>
        <v>677474938.52999997</v>
      </c>
    </row>
    <row r="36" spans="1:4" x14ac:dyDescent="0.35">
      <c r="A36" t="s">
        <v>85</v>
      </c>
      <c r="B36">
        <v>16061969</v>
      </c>
      <c r="C36">
        <v>31.59</v>
      </c>
      <c r="D36" s="13">
        <f t="shared" si="0"/>
        <v>507397600.70999998</v>
      </c>
    </row>
    <row r="37" spans="1:4" x14ac:dyDescent="0.35">
      <c r="A37" t="s">
        <v>87</v>
      </c>
      <c r="B37">
        <v>19857607</v>
      </c>
      <c r="C37">
        <v>31.59</v>
      </c>
      <c r="D37" s="13">
        <f t="shared" si="0"/>
        <v>627301805.13</v>
      </c>
    </row>
    <row r="38" spans="1:4" x14ac:dyDescent="0.35">
      <c r="A38" t="s">
        <v>90</v>
      </c>
      <c r="B38">
        <v>17630398</v>
      </c>
      <c r="C38">
        <v>31.59</v>
      </c>
      <c r="D38" s="13">
        <f t="shared" si="0"/>
        <v>556944272.82000005</v>
      </c>
    </row>
    <row r="39" spans="1:4" x14ac:dyDescent="0.35">
      <c r="A39" t="s">
        <v>92</v>
      </c>
      <c r="B39">
        <v>17606060</v>
      </c>
      <c r="C39">
        <v>31.59</v>
      </c>
      <c r="D39" s="13">
        <f t="shared" si="0"/>
        <v>556175435.39999998</v>
      </c>
    </row>
    <row r="40" spans="1:4" x14ac:dyDescent="0.35">
      <c r="A40" t="s">
        <v>94</v>
      </c>
      <c r="B40">
        <v>15595072</v>
      </c>
      <c r="C40">
        <v>31.59</v>
      </c>
      <c r="D40" s="13">
        <f t="shared" si="0"/>
        <v>492648324.48000002</v>
      </c>
    </row>
    <row r="41" spans="1:4" x14ac:dyDescent="0.35">
      <c r="A41" t="s">
        <v>96</v>
      </c>
      <c r="B41">
        <v>15567795</v>
      </c>
      <c r="C41">
        <v>31.59</v>
      </c>
      <c r="D41" s="13">
        <f t="shared" si="0"/>
        <v>491786644.05000001</v>
      </c>
    </row>
    <row r="42" spans="1:4" x14ac:dyDescent="0.35">
      <c r="B42">
        <f>SUBTOTAL(109,Revenue[Annual_kWh])</f>
        <v>475072964</v>
      </c>
      <c r="C42">
        <f>SUBTOTAL(109,Revenue[RatePKR_per_kWh])</f>
        <v>1263.5999999999997</v>
      </c>
      <c r="D42" s="13">
        <f>SUBTOTAL(109,Revenue[Annual_Revenue_PKR])</f>
        <v>15007554932.759995</v>
      </c>
    </row>
  </sheetData>
  <mergeCells count="1">
    <mergeCell ref="H2:J2"/>
  </mergeCells>
  <pageMargins left="0.75" right="0.75" top="1" bottom="1" header="0.5" footer="0.5"/>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9"/>
  <sheetViews>
    <sheetView topLeftCell="A32" zoomScale="67" workbookViewId="0">
      <selection activeCell="E29" sqref="E29"/>
    </sheetView>
  </sheetViews>
  <sheetFormatPr defaultRowHeight="14.5" x14ac:dyDescent="0.35"/>
  <cols>
    <col min="1" max="8" width="22" customWidth="1"/>
  </cols>
  <sheetData>
    <row r="1" spans="1:6" x14ac:dyDescent="0.35">
      <c r="A1" s="1" t="s">
        <v>132</v>
      </c>
      <c r="B1" s="1" t="s">
        <v>133</v>
      </c>
    </row>
    <row r="2" spans="1:6" x14ac:dyDescent="0.35">
      <c r="A2" t="s">
        <v>134</v>
      </c>
      <c r="B2">
        <v>40</v>
      </c>
    </row>
    <row r="3" spans="1:6" x14ac:dyDescent="0.35">
      <c r="A3" t="s">
        <v>135</v>
      </c>
      <c r="B3">
        <v>46262</v>
      </c>
    </row>
    <row r="4" spans="1:6" x14ac:dyDescent="0.35">
      <c r="A4" t="s">
        <v>136</v>
      </c>
      <c r="B4">
        <v>475072964</v>
      </c>
    </row>
    <row r="5" spans="1:6" x14ac:dyDescent="0.35">
      <c r="A5" t="s">
        <v>137</v>
      </c>
      <c r="B5">
        <v>15007554936</v>
      </c>
    </row>
    <row r="6" spans="1:6" x14ac:dyDescent="0.35">
      <c r="A6" t="s">
        <v>138</v>
      </c>
      <c r="B6">
        <v>20.25</v>
      </c>
    </row>
    <row r="7" spans="1:6" x14ac:dyDescent="0.35">
      <c r="A7" t="s">
        <v>139</v>
      </c>
      <c r="B7">
        <v>11869.4</v>
      </c>
    </row>
    <row r="9" spans="1:6" x14ac:dyDescent="0.35">
      <c r="A9" s="1" t="s">
        <v>3</v>
      </c>
      <c r="B9" s="1" t="s">
        <v>140</v>
      </c>
      <c r="C9" s="1" t="s">
        <v>105</v>
      </c>
      <c r="D9" s="1" t="s">
        <v>126</v>
      </c>
      <c r="E9" s="1" t="s">
        <v>128</v>
      </c>
      <c r="F9" s="1" t="s">
        <v>141</v>
      </c>
    </row>
    <row r="10" spans="1:6" x14ac:dyDescent="0.35">
      <c r="A10" t="s">
        <v>12</v>
      </c>
      <c r="B10">
        <v>16</v>
      </c>
      <c r="C10">
        <v>23520</v>
      </c>
      <c r="D10">
        <v>186666712</v>
      </c>
      <c r="E10">
        <v>5896801432</v>
      </c>
      <c r="F10">
        <v>20.440000000000001</v>
      </c>
    </row>
    <row r="11" spans="1:6" x14ac:dyDescent="0.35">
      <c r="A11" t="s">
        <v>56</v>
      </c>
      <c r="B11">
        <v>12</v>
      </c>
      <c r="C11">
        <v>14476</v>
      </c>
      <c r="D11">
        <v>85136332</v>
      </c>
      <c r="E11">
        <v>2689456730</v>
      </c>
      <c r="F11">
        <v>18.420000000000002</v>
      </c>
    </row>
    <row r="12" spans="1:6" x14ac:dyDescent="0.35">
      <c r="A12" t="s">
        <v>72</v>
      </c>
      <c r="B12">
        <v>12</v>
      </c>
      <c r="C12">
        <v>8266</v>
      </c>
      <c r="D12">
        <v>203269920</v>
      </c>
      <c r="E12">
        <v>6421296774</v>
      </c>
      <c r="F12">
        <v>21.83</v>
      </c>
    </row>
    <row r="14" spans="1:6" x14ac:dyDescent="0.35">
      <c r="A14" s="1" t="s">
        <v>1</v>
      </c>
      <c r="B14" s="1" t="s">
        <v>140</v>
      </c>
      <c r="C14" s="1" t="s">
        <v>105</v>
      </c>
      <c r="D14" s="1" t="s">
        <v>126</v>
      </c>
      <c r="E14" s="1" t="s">
        <v>128</v>
      </c>
      <c r="F14" s="1" t="s">
        <v>141</v>
      </c>
    </row>
    <row r="15" spans="1:6" x14ac:dyDescent="0.35">
      <c r="A15" t="s">
        <v>54</v>
      </c>
      <c r="B15">
        <v>12</v>
      </c>
      <c r="C15">
        <v>14476</v>
      </c>
      <c r="D15">
        <v>85136332</v>
      </c>
      <c r="E15">
        <v>2689456730</v>
      </c>
      <c r="F15">
        <v>18.420000000000002</v>
      </c>
    </row>
    <row r="16" spans="1:6" x14ac:dyDescent="0.35">
      <c r="A16" t="s">
        <v>10</v>
      </c>
      <c r="B16">
        <v>16</v>
      </c>
      <c r="C16">
        <v>23520</v>
      </c>
      <c r="D16">
        <v>186666712</v>
      </c>
      <c r="E16">
        <v>5896801432</v>
      </c>
      <c r="F16">
        <v>20.440000000000001</v>
      </c>
    </row>
    <row r="17" spans="1:6" x14ac:dyDescent="0.35">
      <c r="A17" t="s">
        <v>19</v>
      </c>
      <c r="B17">
        <v>12</v>
      </c>
      <c r="C17">
        <v>8266</v>
      </c>
      <c r="D17">
        <v>203269920</v>
      </c>
      <c r="E17">
        <v>6421296774</v>
      </c>
      <c r="F17">
        <v>21.83</v>
      </c>
    </row>
    <row r="19" spans="1:6" x14ac:dyDescent="0.35">
      <c r="A19" s="10"/>
      <c r="B19" s="10"/>
    </row>
    <row r="33" spans="1:8" x14ac:dyDescent="0.35">
      <c r="A33" s="1" t="s">
        <v>104</v>
      </c>
      <c r="B33" s="1" t="s">
        <v>105</v>
      </c>
      <c r="C33" s="1" t="s">
        <v>106</v>
      </c>
    </row>
    <row r="34" spans="1:8" x14ac:dyDescent="0.35">
      <c r="A34" t="s">
        <v>107</v>
      </c>
      <c r="B34">
        <v>34632</v>
      </c>
      <c r="C34">
        <v>74.86</v>
      </c>
    </row>
    <row r="35" spans="1:8" x14ac:dyDescent="0.35">
      <c r="A35" t="s">
        <v>108</v>
      </c>
      <c r="B35">
        <v>7251</v>
      </c>
      <c r="C35">
        <v>15.67</v>
      </c>
    </row>
    <row r="36" spans="1:8" x14ac:dyDescent="0.35">
      <c r="A36" t="s">
        <v>109</v>
      </c>
      <c r="B36">
        <v>2362</v>
      </c>
      <c r="C36">
        <v>5.1100000000000003</v>
      </c>
    </row>
    <row r="37" spans="1:8" x14ac:dyDescent="0.35">
      <c r="A37" t="s">
        <v>110</v>
      </c>
      <c r="B37">
        <v>2017</v>
      </c>
      <c r="C37">
        <v>4.3600000000000003</v>
      </c>
    </row>
    <row r="39" spans="1:8" x14ac:dyDescent="0.35">
      <c r="A39" s="1" t="s">
        <v>142</v>
      </c>
      <c r="B39" s="1" t="s">
        <v>5</v>
      </c>
      <c r="C39" s="1" t="s">
        <v>6</v>
      </c>
      <c r="D39" s="1" t="s">
        <v>1</v>
      </c>
      <c r="E39" s="1" t="s">
        <v>3</v>
      </c>
      <c r="F39" s="1" t="s">
        <v>126</v>
      </c>
      <c r="G39" s="1" t="s">
        <v>128</v>
      </c>
      <c r="H39" s="1" t="s">
        <v>103</v>
      </c>
    </row>
    <row r="40" spans="1:8" x14ac:dyDescent="0.35">
      <c r="A40">
        <v>1</v>
      </c>
      <c r="B40" t="s">
        <v>83</v>
      </c>
      <c r="C40" t="s">
        <v>84</v>
      </c>
      <c r="D40" t="s">
        <v>19</v>
      </c>
      <c r="E40" t="s">
        <v>72</v>
      </c>
      <c r="F40">
        <v>21445867</v>
      </c>
      <c r="G40">
        <v>677474939</v>
      </c>
      <c r="H40">
        <v>723</v>
      </c>
    </row>
    <row r="41" spans="1:8" x14ac:dyDescent="0.35">
      <c r="A41">
        <v>2</v>
      </c>
      <c r="B41" t="s">
        <v>87</v>
      </c>
      <c r="C41" t="s">
        <v>88</v>
      </c>
      <c r="D41" t="s">
        <v>19</v>
      </c>
      <c r="E41" t="s">
        <v>72</v>
      </c>
      <c r="F41">
        <v>19857607</v>
      </c>
      <c r="G41">
        <v>627301805</v>
      </c>
      <c r="H41">
        <v>536</v>
      </c>
    </row>
    <row r="42" spans="1:8" x14ac:dyDescent="0.35">
      <c r="A42">
        <v>3</v>
      </c>
      <c r="B42" t="s">
        <v>73</v>
      </c>
      <c r="C42" t="s">
        <v>74</v>
      </c>
      <c r="D42" t="s">
        <v>19</v>
      </c>
      <c r="E42" t="s">
        <v>72</v>
      </c>
      <c r="F42">
        <v>19712984</v>
      </c>
      <c r="G42">
        <v>622733165</v>
      </c>
      <c r="H42">
        <v>664</v>
      </c>
    </row>
    <row r="43" spans="1:8" x14ac:dyDescent="0.35">
      <c r="A43">
        <v>4</v>
      </c>
      <c r="B43" t="s">
        <v>75</v>
      </c>
      <c r="C43" t="s">
        <v>76</v>
      </c>
      <c r="D43" t="s">
        <v>19</v>
      </c>
      <c r="E43" t="s">
        <v>72</v>
      </c>
      <c r="F43">
        <v>17647847</v>
      </c>
      <c r="G43">
        <v>557495487</v>
      </c>
      <c r="H43">
        <v>869</v>
      </c>
    </row>
    <row r="44" spans="1:8" x14ac:dyDescent="0.35">
      <c r="A44">
        <v>5</v>
      </c>
      <c r="B44" t="s">
        <v>90</v>
      </c>
      <c r="C44" t="s">
        <v>91</v>
      </c>
      <c r="D44" t="s">
        <v>19</v>
      </c>
      <c r="E44" t="s">
        <v>72</v>
      </c>
      <c r="F44">
        <v>17630398</v>
      </c>
      <c r="G44">
        <v>556944273</v>
      </c>
      <c r="H44">
        <v>528</v>
      </c>
    </row>
    <row r="45" spans="1:8" x14ac:dyDescent="0.35">
      <c r="A45">
        <v>6</v>
      </c>
      <c r="B45" t="s">
        <v>92</v>
      </c>
      <c r="C45" t="s">
        <v>93</v>
      </c>
      <c r="D45" t="s">
        <v>19</v>
      </c>
      <c r="E45" t="s">
        <v>72</v>
      </c>
      <c r="F45">
        <v>17606060</v>
      </c>
      <c r="G45">
        <v>556175435</v>
      </c>
      <c r="H45">
        <v>692</v>
      </c>
    </row>
    <row r="46" spans="1:8" x14ac:dyDescent="0.35">
      <c r="A46">
        <v>7</v>
      </c>
      <c r="B46" t="s">
        <v>85</v>
      </c>
      <c r="C46" t="s">
        <v>86</v>
      </c>
      <c r="D46" t="s">
        <v>19</v>
      </c>
      <c r="E46" t="s">
        <v>72</v>
      </c>
      <c r="F46">
        <v>16061969</v>
      </c>
      <c r="G46">
        <v>507397601</v>
      </c>
      <c r="H46">
        <v>799</v>
      </c>
    </row>
    <row r="47" spans="1:8" x14ac:dyDescent="0.35">
      <c r="A47">
        <v>8</v>
      </c>
      <c r="B47" t="s">
        <v>79</v>
      </c>
      <c r="C47" t="s">
        <v>80</v>
      </c>
      <c r="D47" t="s">
        <v>19</v>
      </c>
      <c r="E47" t="s">
        <v>72</v>
      </c>
      <c r="F47">
        <v>15764952</v>
      </c>
      <c r="G47">
        <v>498014834</v>
      </c>
      <c r="H47">
        <v>719</v>
      </c>
    </row>
    <row r="48" spans="1:8" x14ac:dyDescent="0.35">
      <c r="A48">
        <v>9</v>
      </c>
      <c r="B48" t="s">
        <v>94</v>
      </c>
      <c r="C48" t="s">
        <v>95</v>
      </c>
      <c r="D48" t="s">
        <v>19</v>
      </c>
      <c r="E48" t="s">
        <v>72</v>
      </c>
      <c r="F48">
        <v>15595072</v>
      </c>
      <c r="G48">
        <v>492648324</v>
      </c>
      <c r="H48">
        <v>831</v>
      </c>
    </row>
    <row r="49" spans="1:8" x14ac:dyDescent="0.35">
      <c r="A49">
        <v>10</v>
      </c>
      <c r="B49" t="s">
        <v>96</v>
      </c>
      <c r="C49" t="s">
        <v>97</v>
      </c>
      <c r="D49" t="s">
        <v>19</v>
      </c>
      <c r="E49" t="s">
        <v>72</v>
      </c>
      <c r="F49">
        <v>15567795</v>
      </c>
      <c r="G49">
        <v>491786644</v>
      </c>
      <c r="H49">
        <v>586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8D7B-1705-4182-9FD3-20A491E6D2EE}">
  <dimension ref="A1:H42"/>
  <sheetViews>
    <sheetView workbookViewId="0">
      <selection activeCell="I1" sqref="I1"/>
    </sheetView>
  </sheetViews>
  <sheetFormatPr defaultRowHeight="14.5" x14ac:dyDescent="0.35"/>
  <cols>
    <col min="2" max="2" width="23.6328125" bestFit="1" customWidth="1"/>
    <col min="3" max="3" width="8.36328125" bestFit="1" customWidth="1"/>
    <col min="4" max="4" width="13.1796875" bestFit="1" customWidth="1"/>
    <col min="5" max="5" width="14.08984375" bestFit="1" customWidth="1"/>
    <col min="6" max="6" width="13" bestFit="1" customWidth="1"/>
    <col min="7" max="7" width="13.54296875" bestFit="1" customWidth="1"/>
    <col min="8" max="8" width="19.36328125" bestFit="1" customWidth="1"/>
  </cols>
  <sheetData>
    <row r="1" spans="1:8" x14ac:dyDescent="0.35">
      <c r="A1" s="11" t="s">
        <v>0</v>
      </c>
      <c r="B1" s="11" t="s">
        <v>1</v>
      </c>
      <c r="C1" s="11" t="s">
        <v>5</v>
      </c>
      <c r="D1" s="7" t="s">
        <v>99</v>
      </c>
      <c r="E1" s="7" t="s">
        <v>100</v>
      </c>
      <c r="F1" s="7" t="s">
        <v>101</v>
      </c>
      <c r="G1" s="7" t="s">
        <v>102</v>
      </c>
      <c r="H1" s="7" t="s">
        <v>103</v>
      </c>
    </row>
    <row r="2" spans="1:8" x14ac:dyDescent="0.35">
      <c r="A2" s="24">
        <v>1</v>
      </c>
      <c r="B2" s="27" t="s">
        <v>10</v>
      </c>
      <c r="C2" s="27" t="s">
        <v>14</v>
      </c>
      <c r="D2" s="19">
        <v>1023</v>
      </c>
      <c r="E2" s="19">
        <v>237</v>
      </c>
      <c r="F2" s="19">
        <v>28</v>
      </c>
      <c r="G2" s="19">
        <v>20</v>
      </c>
      <c r="H2" s="20">
        <f>SUM(ConsumerCounts[[#This Row],[ResConsumers]],ConsumerCounts[[#This Row],[ComConsumers]],ConsumerCounts[[#This Row],[IndConsumers]],ConsumerCounts[[#This Row],[AgriConsumers]])</f>
        <v>1308</v>
      </c>
    </row>
    <row r="3" spans="1:8" x14ac:dyDescent="0.35">
      <c r="A3" s="25">
        <v>1</v>
      </c>
      <c r="B3" s="28" t="s">
        <v>10</v>
      </c>
      <c r="C3" s="28" t="s">
        <v>17</v>
      </c>
      <c r="D3" s="21">
        <v>1106</v>
      </c>
      <c r="E3" s="21">
        <v>231</v>
      </c>
      <c r="F3" s="21">
        <v>61</v>
      </c>
      <c r="G3" s="21">
        <v>51</v>
      </c>
      <c r="H3" s="22">
        <f>SUM(ConsumerCounts[[#This Row],[ResConsumers]],ConsumerCounts[[#This Row],[ComConsumers]],ConsumerCounts[[#This Row],[IndConsumers]],ConsumerCounts[[#This Row],[AgriConsumers]])</f>
        <v>1449</v>
      </c>
    </row>
    <row r="4" spans="1:8" x14ac:dyDescent="0.35">
      <c r="A4" s="24">
        <v>1</v>
      </c>
      <c r="B4" s="27" t="s">
        <v>10</v>
      </c>
      <c r="C4" s="27" t="s">
        <v>20</v>
      </c>
      <c r="D4" s="19">
        <v>1372</v>
      </c>
      <c r="E4" s="19">
        <v>170</v>
      </c>
      <c r="F4" s="19">
        <v>74</v>
      </c>
      <c r="G4" s="19">
        <v>28</v>
      </c>
      <c r="H4" s="20">
        <f>SUM(ConsumerCounts[[#This Row],[ResConsumers]],ConsumerCounts[[#This Row],[ComConsumers]],ConsumerCounts[[#This Row],[IndConsumers]],ConsumerCounts[[#This Row],[AgriConsumers]])</f>
        <v>1644</v>
      </c>
    </row>
    <row r="5" spans="1:8" x14ac:dyDescent="0.35">
      <c r="A5" s="25">
        <v>1</v>
      </c>
      <c r="B5" s="28" t="s">
        <v>10</v>
      </c>
      <c r="C5" s="28" t="s">
        <v>23</v>
      </c>
      <c r="D5" s="21">
        <v>1232</v>
      </c>
      <c r="E5" s="21">
        <v>249</v>
      </c>
      <c r="F5" s="21">
        <v>68</v>
      </c>
      <c r="G5" s="21">
        <v>44</v>
      </c>
      <c r="H5" s="22">
        <f>SUM(ConsumerCounts[[#This Row],[ResConsumers]],ConsumerCounts[[#This Row],[ComConsumers]],ConsumerCounts[[#This Row],[IndConsumers]],ConsumerCounts[[#This Row],[AgriConsumers]])</f>
        <v>1593</v>
      </c>
    </row>
    <row r="6" spans="1:8" x14ac:dyDescent="0.35">
      <c r="A6" s="24">
        <v>1</v>
      </c>
      <c r="B6" s="27" t="s">
        <v>10</v>
      </c>
      <c r="C6" s="27" t="s">
        <v>26</v>
      </c>
      <c r="D6" s="19">
        <v>1236</v>
      </c>
      <c r="E6" s="19">
        <v>217</v>
      </c>
      <c r="F6" s="19">
        <v>74</v>
      </c>
      <c r="G6" s="19">
        <v>26</v>
      </c>
      <c r="H6" s="20">
        <f>SUM(ConsumerCounts[[#This Row],[ResConsumers]],ConsumerCounts[[#This Row],[ComConsumers]],ConsumerCounts[[#This Row],[IndConsumers]],ConsumerCounts[[#This Row],[AgriConsumers]])</f>
        <v>1553</v>
      </c>
    </row>
    <row r="7" spans="1:8" x14ac:dyDescent="0.35">
      <c r="A7" s="25">
        <v>1</v>
      </c>
      <c r="B7" s="28" t="s">
        <v>10</v>
      </c>
      <c r="C7" s="28" t="s">
        <v>28</v>
      </c>
      <c r="D7" s="21">
        <v>1253</v>
      </c>
      <c r="E7" s="21">
        <v>211</v>
      </c>
      <c r="F7" s="21">
        <v>51</v>
      </c>
      <c r="G7" s="21">
        <v>70</v>
      </c>
      <c r="H7" s="22">
        <f>SUM(ConsumerCounts[[#This Row],[ResConsumers]],ConsumerCounts[[#This Row],[ComConsumers]],ConsumerCounts[[#This Row],[IndConsumers]],ConsumerCounts[[#This Row],[AgriConsumers]])</f>
        <v>1585</v>
      </c>
    </row>
    <row r="8" spans="1:8" x14ac:dyDescent="0.35">
      <c r="A8" s="24">
        <v>1</v>
      </c>
      <c r="B8" s="27" t="s">
        <v>10</v>
      </c>
      <c r="C8" s="27" t="s">
        <v>30</v>
      </c>
      <c r="D8" s="19">
        <v>1155</v>
      </c>
      <c r="E8" s="19">
        <v>211</v>
      </c>
      <c r="F8" s="19">
        <v>56</v>
      </c>
      <c r="G8" s="19">
        <v>60</v>
      </c>
      <c r="H8" s="20">
        <f>SUM(ConsumerCounts[[#This Row],[ResConsumers]],ConsumerCounts[[#This Row],[ComConsumers]],ConsumerCounts[[#This Row],[IndConsumers]],ConsumerCounts[[#This Row],[AgriConsumers]])</f>
        <v>1482</v>
      </c>
    </row>
    <row r="9" spans="1:8" x14ac:dyDescent="0.35">
      <c r="A9" s="25">
        <v>1</v>
      </c>
      <c r="B9" s="28" t="s">
        <v>10</v>
      </c>
      <c r="C9" s="28" t="s">
        <v>32</v>
      </c>
      <c r="D9" s="21">
        <v>1245</v>
      </c>
      <c r="E9" s="21">
        <v>224</v>
      </c>
      <c r="F9" s="21">
        <v>37</v>
      </c>
      <c r="G9" s="21">
        <v>47</v>
      </c>
      <c r="H9" s="22">
        <f>SUM(ConsumerCounts[[#This Row],[ResConsumers]],ConsumerCounts[[#This Row],[ComConsumers]],ConsumerCounts[[#This Row],[IndConsumers]],ConsumerCounts[[#This Row],[AgriConsumers]])</f>
        <v>1553</v>
      </c>
    </row>
    <row r="10" spans="1:8" x14ac:dyDescent="0.35">
      <c r="A10" s="24">
        <v>1</v>
      </c>
      <c r="B10" s="27" t="s">
        <v>10</v>
      </c>
      <c r="C10" s="27" t="s">
        <v>35</v>
      </c>
      <c r="D10" s="19">
        <v>1092</v>
      </c>
      <c r="E10" s="19">
        <v>181</v>
      </c>
      <c r="F10" s="19">
        <v>22</v>
      </c>
      <c r="G10" s="19">
        <v>42</v>
      </c>
      <c r="H10" s="20">
        <f>SUM(ConsumerCounts[[#This Row],[ResConsumers]],ConsumerCounts[[#This Row],[ComConsumers]],ConsumerCounts[[#This Row],[IndConsumers]],ConsumerCounts[[#This Row],[AgriConsumers]])</f>
        <v>1337</v>
      </c>
    </row>
    <row r="11" spans="1:8" x14ac:dyDescent="0.35">
      <c r="A11" s="25">
        <v>1</v>
      </c>
      <c r="B11" s="28" t="s">
        <v>10</v>
      </c>
      <c r="C11" s="28" t="s">
        <v>37</v>
      </c>
      <c r="D11" s="21">
        <v>970</v>
      </c>
      <c r="E11" s="21">
        <v>195</v>
      </c>
      <c r="F11" s="21">
        <v>43</v>
      </c>
      <c r="G11" s="21">
        <v>34</v>
      </c>
      <c r="H11" s="22">
        <f>SUM(ConsumerCounts[[#This Row],[ResConsumers]],ConsumerCounts[[#This Row],[ComConsumers]],ConsumerCounts[[#This Row],[IndConsumers]],ConsumerCounts[[#This Row],[AgriConsumers]])</f>
        <v>1242</v>
      </c>
    </row>
    <row r="12" spans="1:8" x14ac:dyDescent="0.35">
      <c r="A12" s="24">
        <v>1</v>
      </c>
      <c r="B12" s="27" t="s">
        <v>10</v>
      </c>
      <c r="C12" s="27" t="s">
        <v>39</v>
      </c>
      <c r="D12" s="19">
        <v>1131</v>
      </c>
      <c r="E12" s="19">
        <v>274</v>
      </c>
      <c r="F12" s="19">
        <v>74</v>
      </c>
      <c r="G12" s="19">
        <v>46</v>
      </c>
      <c r="H12" s="20">
        <f>SUM(ConsumerCounts[[#This Row],[ResConsumers]],ConsumerCounts[[#This Row],[ComConsumers]],ConsumerCounts[[#This Row],[IndConsumers]],ConsumerCounts[[#This Row],[AgriConsumers]])</f>
        <v>1525</v>
      </c>
    </row>
    <row r="13" spans="1:8" x14ac:dyDescent="0.35">
      <c r="A13" s="25">
        <v>1</v>
      </c>
      <c r="B13" s="28" t="s">
        <v>10</v>
      </c>
      <c r="C13" s="28" t="s">
        <v>41</v>
      </c>
      <c r="D13" s="21">
        <v>1080</v>
      </c>
      <c r="E13" s="21">
        <v>259</v>
      </c>
      <c r="F13" s="21">
        <v>77</v>
      </c>
      <c r="G13" s="21">
        <v>69</v>
      </c>
      <c r="H13" s="22">
        <f>SUM(ConsumerCounts[[#This Row],[ResConsumers]],ConsumerCounts[[#This Row],[ComConsumers]],ConsumerCounts[[#This Row],[IndConsumers]],ConsumerCounts[[#This Row],[AgriConsumers]])</f>
        <v>1485</v>
      </c>
    </row>
    <row r="14" spans="1:8" x14ac:dyDescent="0.35">
      <c r="A14" s="24">
        <v>1</v>
      </c>
      <c r="B14" s="27" t="s">
        <v>10</v>
      </c>
      <c r="C14" s="27" t="s">
        <v>43</v>
      </c>
      <c r="D14" s="19">
        <v>1027</v>
      </c>
      <c r="E14" s="19">
        <v>226</v>
      </c>
      <c r="F14" s="19">
        <v>70</v>
      </c>
      <c r="G14" s="19">
        <v>40</v>
      </c>
      <c r="H14" s="20">
        <f>SUM(ConsumerCounts[[#This Row],[ResConsumers]],ConsumerCounts[[#This Row],[ComConsumers]],ConsumerCounts[[#This Row],[IndConsumers]],ConsumerCounts[[#This Row],[AgriConsumers]])</f>
        <v>1363</v>
      </c>
    </row>
    <row r="15" spans="1:8" x14ac:dyDescent="0.35">
      <c r="A15" s="25">
        <v>1</v>
      </c>
      <c r="B15" s="28" t="s">
        <v>10</v>
      </c>
      <c r="C15" s="28" t="s">
        <v>46</v>
      </c>
      <c r="D15" s="21">
        <v>972</v>
      </c>
      <c r="E15" s="21">
        <v>150</v>
      </c>
      <c r="F15" s="21">
        <v>54</v>
      </c>
      <c r="G15" s="21">
        <v>46</v>
      </c>
      <c r="H15" s="22">
        <f>SUM(ConsumerCounts[[#This Row],[ResConsumers]],ConsumerCounts[[#This Row],[ComConsumers]],ConsumerCounts[[#This Row],[IndConsumers]],ConsumerCounts[[#This Row],[AgriConsumers]])</f>
        <v>1222</v>
      </c>
    </row>
    <row r="16" spans="1:8" x14ac:dyDescent="0.35">
      <c r="A16" s="24">
        <v>1</v>
      </c>
      <c r="B16" s="27" t="s">
        <v>10</v>
      </c>
      <c r="C16" s="27" t="s">
        <v>49</v>
      </c>
      <c r="D16" s="19">
        <v>1217</v>
      </c>
      <c r="E16" s="19">
        <v>177</v>
      </c>
      <c r="F16" s="19">
        <v>53</v>
      </c>
      <c r="G16" s="19">
        <v>55</v>
      </c>
      <c r="H16" s="20">
        <f>SUM(ConsumerCounts[[#This Row],[ResConsumers]],ConsumerCounts[[#This Row],[ComConsumers]],ConsumerCounts[[#This Row],[IndConsumers]],ConsumerCounts[[#This Row],[AgriConsumers]])</f>
        <v>1502</v>
      </c>
    </row>
    <row r="17" spans="1:8" x14ac:dyDescent="0.35">
      <c r="A17" s="25">
        <v>1</v>
      </c>
      <c r="B17" s="28" t="s">
        <v>10</v>
      </c>
      <c r="C17" s="28" t="s">
        <v>52</v>
      </c>
      <c r="D17" s="21">
        <v>1375</v>
      </c>
      <c r="E17" s="21">
        <v>237</v>
      </c>
      <c r="F17" s="21">
        <v>40</v>
      </c>
      <c r="G17" s="21">
        <v>25</v>
      </c>
      <c r="H17" s="22">
        <f>SUM(ConsumerCounts[[#This Row],[ResConsumers]],ConsumerCounts[[#This Row],[ComConsumers]],ConsumerCounts[[#This Row],[IndConsumers]],ConsumerCounts[[#This Row],[AgriConsumers]])</f>
        <v>1677</v>
      </c>
    </row>
    <row r="18" spans="1:8" x14ac:dyDescent="0.35">
      <c r="A18" s="24">
        <v>2</v>
      </c>
      <c r="B18" s="27" t="s">
        <v>54</v>
      </c>
      <c r="C18" s="27" t="s">
        <v>58</v>
      </c>
      <c r="D18" s="19">
        <v>1013</v>
      </c>
      <c r="E18" s="19">
        <v>191</v>
      </c>
      <c r="F18" s="19">
        <v>16</v>
      </c>
      <c r="G18" s="19">
        <v>51</v>
      </c>
      <c r="H18" s="20">
        <f>SUM(ConsumerCounts[[#This Row],[ResConsumers]],ConsumerCounts[[#This Row],[ComConsumers]],ConsumerCounts[[#This Row],[IndConsumers]],ConsumerCounts[[#This Row],[AgriConsumers]])</f>
        <v>1271</v>
      </c>
    </row>
    <row r="19" spans="1:8" x14ac:dyDescent="0.35">
      <c r="A19" s="25">
        <v>2</v>
      </c>
      <c r="B19" s="28" t="s">
        <v>54</v>
      </c>
      <c r="C19" s="28" t="s">
        <v>59</v>
      </c>
      <c r="D19" s="21">
        <v>735</v>
      </c>
      <c r="E19" s="21">
        <v>134</v>
      </c>
      <c r="F19" s="21">
        <v>23</v>
      </c>
      <c r="G19" s="21">
        <v>47</v>
      </c>
      <c r="H19" s="22">
        <f>SUM(ConsumerCounts[[#This Row],[ResConsumers]],ConsumerCounts[[#This Row],[ComConsumers]],ConsumerCounts[[#This Row],[IndConsumers]],ConsumerCounts[[#This Row],[AgriConsumers]])</f>
        <v>939</v>
      </c>
    </row>
    <row r="20" spans="1:8" x14ac:dyDescent="0.35">
      <c r="A20" s="24">
        <v>2</v>
      </c>
      <c r="B20" s="27" t="s">
        <v>54</v>
      </c>
      <c r="C20" s="27" t="s">
        <v>60</v>
      </c>
      <c r="D20" s="19">
        <v>1075</v>
      </c>
      <c r="E20" s="19">
        <v>139</v>
      </c>
      <c r="F20" s="19">
        <v>11</v>
      </c>
      <c r="G20" s="19">
        <v>73</v>
      </c>
      <c r="H20" s="20">
        <f>SUM(ConsumerCounts[[#This Row],[ResConsumers]],ConsumerCounts[[#This Row],[ComConsumers]],ConsumerCounts[[#This Row],[IndConsumers]],ConsumerCounts[[#This Row],[AgriConsumers]])</f>
        <v>1298</v>
      </c>
    </row>
    <row r="21" spans="1:8" x14ac:dyDescent="0.35">
      <c r="A21" s="25">
        <v>2</v>
      </c>
      <c r="B21" s="28" t="s">
        <v>54</v>
      </c>
      <c r="C21" s="28" t="s">
        <v>62</v>
      </c>
      <c r="D21" s="21">
        <v>1088</v>
      </c>
      <c r="E21" s="21">
        <v>129</v>
      </c>
      <c r="F21" s="21">
        <v>46</v>
      </c>
      <c r="G21" s="21">
        <v>49</v>
      </c>
      <c r="H21" s="22">
        <f>SUM(ConsumerCounts[[#This Row],[ResConsumers]],ConsumerCounts[[#This Row],[ComConsumers]],ConsumerCounts[[#This Row],[IndConsumers]],ConsumerCounts[[#This Row],[AgriConsumers]])</f>
        <v>1312</v>
      </c>
    </row>
    <row r="22" spans="1:8" x14ac:dyDescent="0.35">
      <c r="A22" s="24">
        <v>2</v>
      </c>
      <c r="B22" s="27" t="s">
        <v>54</v>
      </c>
      <c r="C22" s="27" t="s">
        <v>63</v>
      </c>
      <c r="D22" s="19">
        <v>1126</v>
      </c>
      <c r="E22" s="19">
        <v>112</v>
      </c>
      <c r="F22" s="19">
        <v>25</v>
      </c>
      <c r="G22" s="19">
        <v>51</v>
      </c>
      <c r="H22" s="20">
        <f>SUM(ConsumerCounts[[#This Row],[ResConsumers]],ConsumerCounts[[#This Row],[ComConsumers]],ConsumerCounts[[#This Row],[IndConsumers]],ConsumerCounts[[#This Row],[AgriConsumers]])</f>
        <v>1314</v>
      </c>
    </row>
    <row r="23" spans="1:8" x14ac:dyDescent="0.35">
      <c r="A23" s="25">
        <v>2</v>
      </c>
      <c r="B23" s="28" t="s">
        <v>54</v>
      </c>
      <c r="C23" s="28" t="s">
        <v>64</v>
      </c>
      <c r="D23" s="21">
        <v>1026</v>
      </c>
      <c r="E23" s="21">
        <v>206</v>
      </c>
      <c r="F23" s="21">
        <v>30</v>
      </c>
      <c r="G23" s="21">
        <v>98</v>
      </c>
      <c r="H23" s="22">
        <f>SUM(ConsumerCounts[[#This Row],[ResConsumers]],ConsumerCounts[[#This Row],[ComConsumers]],ConsumerCounts[[#This Row],[IndConsumers]],ConsumerCounts[[#This Row],[AgriConsumers]])</f>
        <v>1360</v>
      </c>
    </row>
    <row r="24" spans="1:8" x14ac:dyDescent="0.35">
      <c r="A24" s="24">
        <v>2</v>
      </c>
      <c r="B24" s="27" t="s">
        <v>54</v>
      </c>
      <c r="C24" s="27" t="s">
        <v>65</v>
      </c>
      <c r="D24" s="19">
        <v>792</v>
      </c>
      <c r="E24" s="19">
        <v>108</v>
      </c>
      <c r="F24" s="19">
        <v>19</v>
      </c>
      <c r="G24" s="19">
        <v>53</v>
      </c>
      <c r="H24" s="20">
        <f>SUM(ConsumerCounts[[#This Row],[ResConsumers]],ConsumerCounts[[#This Row],[ComConsumers]],ConsumerCounts[[#This Row],[IndConsumers]],ConsumerCounts[[#This Row],[AgriConsumers]])</f>
        <v>972</v>
      </c>
    </row>
    <row r="25" spans="1:8" x14ac:dyDescent="0.35">
      <c r="A25" s="25">
        <v>2</v>
      </c>
      <c r="B25" s="28" t="s">
        <v>54</v>
      </c>
      <c r="C25" s="28" t="s">
        <v>67</v>
      </c>
      <c r="D25" s="21">
        <v>993</v>
      </c>
      <c r="E25" s="21">
        <v>113</v>
      </c>
      <c r="F25" s="21">
        <v>49</v>
      </c>
      <c r="G25" s="21">
        <v>67</v>
      </c>
      <c r="H25" s="22">
        <f>SUM(ConsumerCounts[[#This Row],[ResConsumers]],ConsumerCounts[[#This Row],[ComConsumers]],ConsumerCounts[[#This Row],[IndConsumers]],ConsumerCounts[[#This Row],[AgriConsumers]])</f>
        <v>1222</v>
      </c>
    </row>
    <row r="26" spans="1:8" x14ac:dyDescent="0.35">
      <c r="A26" s="24">
        <v>2</v>
      </c>
      <c r="B26" s="27" t="s">
        <v>54</v>
      </c>
      <c r="C26" s="27" t="s">
        <v>68</v>
      </c>
      <c r="D26" s="19">
        <v>811</v>
      </c>
      <c r="E26" s="19">
        <v>115</v>
      </c>
      <c r="F26" s="19">
        <v>54</v>
      </c>
      <c r="G26" s="19">
        <v>82</v>
      </c>
      <c r="H26" s="20">
        <f>SUM(ConsumerCounts[[#This Row],[ResConsumers]],ConsumerCounts[[#This Row],[ComConsumers]],ConsumerCounts[[#This Row],[IndConsumers]],ConsumerCounts[[#This Row],[AgriConsumers]])</f>
        <v>1062</v>
      </c>
    </row>
    <row r="27" spans="1:8" x14ac:dyDescent="0.35">
      <c r="A27" s="25">
        <v>2</v>
      </c>
      <c r="B27" s="28" t="s">
        <v>54</v>
      </c>
      <c r="C27" s="28" t="s">
        <v>69</v>
      </c>
      <c r="D27" s="21">
        <v>980</v>
      </c>
      <c r="E27" s="21">
        <v>185</v>
      </c>
      <c r="F27" s="21">
        <v>11</v>
      </c>
      <c r="G27" s="21">
        <v>41</v>
      </c>
      <c r="H27" s="22">
        <f>SUM(ConsumerCounts[[#This Row],[ResConsumers]],ConsumerCounts[[#This Row],[ComConsumers]],ConsumerCounts[[#This Row],[IndConsumers]],ConsumerCounts[[#This Row],[AgriConsumers]])</f>
        <v>1217</v>
      </c>
    </row>
    <row r="28" spans="1:8" x14ac:dyDescent="0.35">
      <c r="A28" s="24">
        <v>2</v>
      </c>
      <c r="B28" s="27" t="s">
        <v>54</v>
      </c>
      <c r="C28" s="27" t="s">
        <v>70</v>
      </c>
      <c r="D28" s="19">
        <v>944</v>
      </c>
      <c r="E28" s="19">
        <v>160</v>
      </c>
      <c r="F28" s="19">
        <v>37</v>
      </c>
      <c r="G28" s="19">
        <v>48</v>
      </c>
      <c r="H28" s="20">
        <f>SUM(ConsumerCounts[[#This Row],[ResConsumers]],ConsumerCounts[[#This Row],[ComConsumers]],ConsumerCounts[[#This Row],[IndConsumers]],ConsumerCounts[[#This Row],[AgriConsumers]])</f>
        <v>1189</v>
      </c>
    </row>
    <row r="29" spans="1:8" x14ac:dyDescent="0.35">
      <c r="A29" s="25">
        <v>2</v>
      </c>
      <c r="B29" s="28" t="s">
        <v>54</v>
      </c>
      <c r="C29" s="28" t="s">
        <v>71</v>
      </c>
      <c r="D29" s="21">
        <v>1015</v>
      </c>
      <c r="E29" s="21">
        <v>217</v>
      </c>
      <c r="F29" s="21">
        <v>13</v>
      </c>
      <c r="G29" s="21">
        <v>75</v>
      </c>
      <c r="H29" s="22">
        <f>SUM(ConsumerCounts[[#This Row],[ResConsumers]],ConsumerCounts[[#This Row],[ComConsumers]],ConsumerCounts[[#This Row],[IndConsumers]],ConsumerCounts[[#This Row],[AgriConsumers]])</f>
        <v>1320</v>
      </c>
    </row>
    <row r="30" spans="1:8" x14ac:dyDescent="0.35">
      <c r="A30" s="24">
        <v>3</v>
      </c>
      <c r="B30" s="27" t="s">
        <v>19</v>
      </c>
      <c r="C30" s="27" t="s">
        <v>73</v>
      </c>
      <c r="D30" s="19">
        <v>321</v>
      </c>
      <c r="E30" s="19">
        <v>158</v>
      </c>
      <c r="F30" s="19">
        <v>112</v>
      </c>
      <c r="G30" s="19">
        <v>73</v>
      </c>
      <c r="H30" s="20">
        <f>SUM(ConsumerCounts[[#This Row],[ResConsumers]],ConsumerCounts[[#This Row],[ComConsumers]],ConsumerCounts[[#This Row],[IndConsumers]],ConsumerCounts[[#This Row],[AgriConsumers]])</f>
        <v>664</v>
      </c>
    </row>
    <row r="31" spans="1:8" x14ac:dyDescent="0.35">
      <c r="A31" s="25">
        <v>3</v>
      </c>
      <c r="B31" s="28" t="s">
        <v>19</v>
      </c>
      <c r="C31" s="28" t="s">
        <v>75</v>
      </c>
      <c r="D31" s="21">
        <v>533</v>
      </c>
      <c r="E31" s="21">
        <v>216</v>
      </c>
      <c r="F31" s="21">
        <v>100</v>
      </c>
      <c r="G31" s="21">
        <v>20</v>
      </c>
      <c r="H31" s="22">
        <f>SUM(ConsumerCounts[[#This Row],[ResConsumers]],ConsumerCounts[[#This Row],[ComConsumers]],ConsumerCounts[[#This Row],[IndConsumers]],ConsumerCounts[[#This Row],[AgriConsumers]])</f>
        <v>869</v>
      </c>
    </row>
    <row r="32" spans="1:8" x14ac:dyDescent="0.35">
      <c r="A32" s="24">
        <v>3</v>
      </c>
      <c r="B32" s="27" t="s">
        <v>19</v>
      </c>
      <c r="C32" s="27" t="s">
        <v>77</v>
      </c>
      <c r="D32" s="19">
        <v>549</v>
      </c>
      <c r="E32" s="19">
        <v>206</v>
      </c>
      <c r="F32" s="19">
        <v>67</v>
      </c>
      <c r="G32" s="19">
        <v>64</v>
      </c>
      <c r="H32" s="20">
        <f>SUM(ConsumerCounts[[#This Row],[ResConsumers]],ConsumerCounts[[#This Row],[ComConsumers]],ConsumerCounts[[#This Row],[IndConsumers]],ConsumerCounts[[#This Row],[AgriConsumers]])</f>
        <v>886</v>
      </c>
    </row>
    <row r="33" spans="1:8" x14ac:dyDescent="0.35">
      <c r="A33" s="25">
        <v>3</v>
      </c>
      <c r="B33" s="28" t="s">
        <v>19</v>
      </c>
      <c r="C33" s="28" t="s">
        <v>79</v>
      </c>
      <c r="D33" s="21">
        <v>407</v>
      </c>
      <c r="E33" s="21">
        <v>164</v>
      </c>
      <c r="F33" s="21">
        <v>85</v>
      </c>
      <c r="G33" s="21">
        <v>63</v>
      </c>
      <c r="H33" s="22">
        <f>SUM(ConsumerCounts[[#This Row],[ResConsumers]],ConsumerCounts[[#This Row],[ComConsumers]],ConsumerCounts[[#This Row],[IndConsumers]],ConsumerCounts[[#This Row],[AgriConsumers]])</f>
        <v>719</v>
      </c>
    </row>
    <row r="34" spans="1:8" x14ac:dyDescent="0.35">
      <c r="A34" s="24">
        <v>3</v>
      </c>
      <c r="B34" s="27" t="s">
        <v>19</v>
      </c>
      <c r="C34" s="27" t="s">
        <v>81</v>
      </c>
      <c r="D34" s="19">
        <v>213</v>
      </c>
      <c r="E34" s="19">
        <v>121</v>
      </c>
      <c r="F34" s="19">
        <v>74</v>
      </c>
      <c r="G34" s="19">
        <v>25</v>
      </c>
      <c r="H34" s="20">
        <f>SUM(ConsumerCounts[[#This Row],[ResConsumers]],ConsumerCounts[[#This Row],[ComConsumers]],ConsumerCounts[[#This Row],[IndConsumers]],ConsumerCounts[[#This Row],[AgriConsumers]])</f>
        <v>433</v>
      </c>
    </row>
    <row r="35" spans="1:8" x14ac:dyDescent="0.35">
      <c r="A35" s="25">
        <v>3</v>
      </c>
      <c r="B35" s="28" t="s">
        <v>19</v>
      </c>
      <c r="C35" s="28" t="s">
        <v>83</v>
      </c>
      <c r="D35" s="21">
        <v>417</v>
      </c>
      <c r="E35" s="21">
        <v>134</v>
      </c>
      <c r="F35" s="21">
        <v>128</v>
      </c>
      <c r="G35" s="21">
        <v>44</v>
      </c>
      <c r="H35" s="22">
        <f>SUM(ConsumerCounts[[#This Row],[ResConsumers]],ConsumerCounts[[#This Row],[ComConsumers]],ConsumerCounts[[#This Row],[IndConsumers]],ConsumerCounts[[#This Row],[AgriConsumers]])</f>
        <v>723</v>
      </c>
    </row>
    <row r="36" spans="1:8" x14ac:dyDescent="0.35">
      <c r="A36" s="24">
        <v>3</v>
      </c>
      <c r="B36" s="27" t="s">
        <v>19</v>
      </c>
      <c r="C36" s="27" t="s">
        <v>85</v>
      </c>
      <c r="D36" s="19">
        <v>456</v>
      </c>
      <c r="E36" s="19">
        <v>205</v>
      </c>
      <c r="F36" s="19">
        <v>86</v>
      </c>
      <c r="G36" s="19">
        <v>52</v>
      </c>
      <c r="H36" s="20">
        <f>SUM(ConsumerCounts[[#This Row],[ResConsumers]],ConsumerCounts[[#This Row],[ComConsumers]],ConsumerCounts[[#This Row],[IndConsumers]],ConsumerCounts[[#This Row],[AgriConsumers]])</f>
        <v>799</v>
      </c>
    </row>
    <row r="37" spans="1:8" x14ac:dyDescent="0.35">
      <c r="A37" s="25">
        <v>3</v>
      </c>
      <c r="B37" s="28" t="s">
        <v>19</v>
      </c>
      <c r="C37" s="28" t="s">
        <v>87</v>
      </c>
      <c r="D37" s="21">
        <v>269</v>
      </c>
      <c r="E37" s="21">
        <v>122</v>
      </c>
      <c r="F37" s="21">
        <v>123</v>
      </c>
      <c r="G37" s="21">
        <v>22</v>
      </c>
      <c r="H37" s="22">
        <f>SUM(ConsumerCounts[[#This Row],[ResConsumers]],ConsumerCounts[[#This Row],[ComConsumers]],ConsumerCounts[[#This Row],[IndConsumers]],ConsumerCounts[[#This Row],[AgriConsumers]])</f>
        <v>536</v>
      </c>
    </row>
    <row r="38" spans="1:8" x14ac:dyDescent="0.35">
      <c r="A38" s="24">
        <v>3</v>
      </c>
      <c r="B38" s="27" t="s">
        <v>19</v>
      </c>
      <c r="C38" s="27" t="s">
        <v>90</v>
      </c>
      <c r="D38" s="19">
        <v>216</v>
      </c>
      <c r="E38" s="19">
        <v>155</v>
      </c>
      <c r="F38" s="19">
        <v>102</v>
      </c>
      <c r="G38" s="19">
        <v>55</v>
      </c>
      <c r="H38" s="20">
        <f>SUM(ConsumerCounts[[#This Row],[ResConsumers]],ConsumerCounts[[#This Row],[ComConsumers]],ConsumerCounts[[#This Row],[IndConsumers]],ConsumerCounts[[#This Row],[AgriConsumers]])</f>
        <v>528</v>
      </c>
    </row>
    <row r="39" spans="1:8" x14ac:dyDescent="0.35">
      <c r="A39" s="25">
        <v>3</v>
      </c>
      <c r="B39" s="28" t="s">
        <v>19</v>
      </c>
      <c r="C39" s="28" t="s">
        <v>92</v>
      </c>
      <c r="D39" s="21">
        <v>380</v>
      </c>
      <c r="E39" s="21">
        <v>145</v>
      </c>
      <c r="F39" s="21">
        <v>98</v>
      </c>
      <c r="G39" s="21">
        <v>69</v>
      </c>
      <c r="H39" s="22">
        <f>SUM(ConsumerCounts[[#This Row],[ResConsumers]],ConsumerCounts[[#This Row],[ComConsumers]],ConsumerCounts[[#This Row],[IndConsumers]],ConsumerCounts[[#This Row],[AgriConsumers]])</f>
        <v>692</v>
      </c>
    </row>
    <row r="40" spans="1:8" x14ac:dyDescent="0.35">
      <c r="A40" s="24">
        <v>3</v>
      </c>
      <c r="B40" s="27" t="s">
        <v>19</v>
      </c>
      <c r="C40" s="27" t="s">
        <v>94</v>
      </c>
      <c r="D40" s="19">
        <v>510</v>
      </c>
      <c r="E40" s="19">
        <v>169</v>
      </c>
      <c r="F40" s="19">
        <v>81</v>
      </c>
      <c r="G40" s="19">
        <v>71</v>
      </c>
      <c r="H40" s="20">
        <f>SUM(ConsumerCounts[[#This Row],[ResConsumers]],ConsumerCounts[[#This Row],[ComConsumers]],ConsumerCounts[[#This Row],[IndConsumers]],ConsumerCounts[[#This Row],[AgriConsumers]])</f>
        <v>831</v>
      </c>
    </row>
    <row r="41" spans="1:8" ht="15" thickBot="1" x14ac:dyDescent="0.4">
      <c r="A41" s="26">
        <v>3</v>
      </c>
      <c r="B41" s="29" t="s">
        <v>19</v>
      </c>
      <c r="C41" s="29" t="s">
        <v>96</v>
      </c>
      <c r="D41" s="21">
        <v>277</v>
      </c>
      <c r="E41" s="21">
        <v>198</v>
      </c>
      <c r="F41" s="21">
        <v>90</v>
      </c>
      <c r="G41" s="21">
        <v>21</v>
      </c>
      <c r="H41" s="22">
        <f>SUM(ConsumerCounts[[#This Row],[ResConsumers]],ConsumerCounts[[#This Row],[ComConsumers]],ConsumerCounts[[#This Row],[IndConsumers]],ConsumerCounts[[#This Row],[AgriConsumers]])</f>
        <v>586</v>
      </c>
    </row>
    <row r="42" spans="1:8" ht="15" thickTop="1" x14ac:dyDescent="0.35">
      <c r="D42" s="30"/>
      <c r="E42" s="30"/>
      <c r="F42" s="30"/>
      <c r="G42" s="30"/>
      <c r="H42"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Feeders</vt:lpstr>
      <vt:lpstr>ConsumerCounts</vt:lpstr>
      <vt:lpstr>MonthlyConsumption</vt:lpstr>
      <vt:lpstr>Revenue</vt:lpstr>
      <vt:lpstr>Summary</vt:lpstr>
      <vt:lpstr>Collection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Zeeshan Hyder</cp:lastModifiedBy>
  <cp:revision/>
  <dcterms:created xsi:type="dcterms:W3CDTF">2026-01-04T06:53:16Z</dcterms:created>
  <dcterms:modified xsi:type="dcterms:W3CDTF">2026-01-05T09:52:04Z</dcterms:modified>
  <cp:category/>
  <cp:contentStatus/>
</cp:coreProperties>
</file>